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iriarte\Desktop\Documentacion Proyectos\NFE Alert V.2\Estimaciones\"/>
    </mc:Choice>
  </mc:AlternateContent>
  <xr:revisionPtr revIDLastSave="0" documentId="13_ncr:1_{84F9DE33-1CDF-4069-9E76-96D0343CB52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Etapa 1" sheetId="1" r:id="rId1"/>
    <sheet name="Etapa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9" i="2" l="1"/>
  <c r="B41" i="2" s="1"/>
  <c r="C35" i="2"/>
  <c r="B7" i="2" s="1"/>
  <c r="C68" i="2"/>
  <c r="C58" i="2"/>
  <c r="C34" i="2"/>
  <c r="C24" i="2"/>
  <c r="C53" i="1"/>
  <c r="C43" i="1"/>
  <c r="C26" i="1"/>
  <c r="C54" i="1" s="1"/>
  <c r="C55" i="1" l="1"/>
  <c r="B7" i="1"/>
  <c r="C36" i="2" l="1"/>
  <c r="C70" i="2"/>
</calcChain>
</file>

<file path=xl/sharedStrings.xml><?xml version="1.0" encoding="utf-8"?>
<sst xmlns="http://schemas.openxmlformats.org/spreadsheetml/2006/main" count="931" uniqueCount="221">
  <si>
    <t>NFE Alert V2 | Etapa 1</t>
  </si>
  <si>
    <t>Clientes, correo global y cola de trabajo. Equipo interno: 2 personas x 6 h/día (12 h/día). QA y Producción: 8 h/día. Cloud condicional usa un carril independiente.</t>
  </si>
  <si>
    <t>Análisis</t>
  </si>
  <si>
    <t>Desarrollo y TI</t>
  </si>
  <si>
    <t>QA</t>
  </si>
  <si>
    <t>Producción</t>
  </si>
  <si>
    <t>Feriado bloqueado</t>
  </si>
  <si>
    <t>Sin estimar</t>
  </si>
  <si>
    <t>Estado</t>
  </si>
  <si>
    <t>Observación y supuestos</t>
  </si>
  <si>
    <t>Escenario ampliado | Cloud en paralelo con Alcance 1</t>
  </si>
  <si>
    <t>Horas etapa</t>
  </si>
  <si>
    <t>Inicio</t>
  </si>
  <si>
    <t>Fin calculado</t>
  </si>
  <si>
    <t>Cloud está BLOQUEADO hasta que se confirmen accesos desde México. Sus fechas son la simulación más temprana si se habilita al iniciar Alcance 1 y si tiene equipo/QA propio. Sin esa condición, el fin de este escenario debe recalcularse.</t>
  </si>
  <si>
    <t>SEPT 26</t>
  </si>
  <si>
    <t>OCT 26</t>
  </si>
  <si>
    <t>NOV 26</t>
  </si>
  <si>
    <t>DIC 26</t>
  </si>
  <si>
    <t>ENE 27</t>
  </si>
  <si>
    <t>ID</t>
  </si>
  <si>
    <t>Actividad</t>
  </si>
  <si>
    <t>Horas</t>
  </si>
  <si>
    <t>A / Dev / TI / QA (h)</t>
  </si>
  <si>
    <t>Fin</t>
  </si>
  <si>
    <t>Observación</t>
  </si>
  <si>
    <t>Principal responsable</t>
  </si>
  <si>
    <t>Alcance 0 | Clientes y correo global</t>
  </si>
  <si>
    <t>0.1</t>
  </si>
  <si>
    <t>Terminar el código existente de alta, baja y modificación; conservar cambios antes/después</t>
  </si>
  <si>
    <t>0 h remanentes; QA histórico: 8 h</t>
  </si>
  <si>
    <t>Completado</t>
  </si>
  <si>
    <t>El archivo origen marca 0 h totales y 8 h de QA ya realizado; no se agregan horas al plan.</t>
  </si>
  <si>
    <t>Amiel Iriarte</t>
  </si>
  <si>
    <t>Q</t>
  </si>
  <si>
    <t>0.2</t>
  </si>
  <si>
    <t>Regresión del proceso, QA con usuarios y salida controlada</t>
  </si>
  <si>
    <t>A 0 / D 0 / TI 6 / QA 8</t>
  </si>
  <si>
    <t>T</t>
  </si>
  <si>
    <t>0.3</t>
  </si>
  <si>
    <t>Correo operativo al cierre de cada ejecución global: consolidar todos los clientes y enviar un resumen</t>
  </si>
  <si>
    <t>En proceso</t>
  </si>
  <si>
    <t>En proceso desde el 13/10; se proyectan las 60 h íntegras porque no se informó avance consumido.</t>
  </si>
  <si>
    <t>A/D</t>
  </si>
  <si>
    <t>D</t>
  </si>
  <si>
    <t>D/T</t>
  </si>
  <si>
    <t>0.M</t>
  </si>
  <si>
    <t>Reactivar carga masiva de clientes desde archivo, sin API (sujeto a relevamiento)</t>
  </si>
  <si>
    <t>Pendiente</t>
  </si>
  <si>
    <t>No se calendariza hasta evaluar el ambiente Cloud; no incluye API.</t>
  </si>
  <si>
    <t>Alan Blin</t>
  </si>
  <si>
    <t>0.D</t>
  </si>
  <si>
    <t>DoD general del alcance: evidencia de criterios cumplidos</t>
  </si>
  <si>
    <t>Hito, sin horas adicionales</t>
  </si>
  <si>
    <t>Hito de cierre; se completa progresivamente por actividad y se valida antes de Producción.</t>
  </si>
  <si>
    <t>0.P</t>
  </si>
  <si>
    <t>Producción del alcance</t>
  </si>
  <si>
    <t>Producción: 16 h</t>
  </si>
  <si>
    <t>Paso final del alcance, tras QA y DoD.</t>
  </si>
  <si>
    <t>P</t>
  </si>
  <si>
    <t>Subtotal alcance</t>
  </si>
  <si>
    <t>Alcance 1 | Cola de trabajo y notificaciones</t>
  </si>
  <si>
    <t>1.1</t>
  </si>
  <si>
    <t>Relevar las 24 jurisdicciones con clase existente para mejoras</t>
  </si>
  <si>
    <t>A</t>
  </si>
  <si>
    <t>1.2</t>
  </si>
  <si>
    <t>Relevar Santa Fe y Tierra del Fuego, configuradas sin clase</t>
  </si>
  <si>
    <t>Santa Fe y Tierra del Fuego: sin clientes configurados hoy; confirmar alcance antes de estimar.</t>
  </si>
  <si>
    <t>NA</t>
  </si>
  <si>
    <t>1.3</t>
  </si>
  <si>
    <t>Modelo de datos, estados y migraciones de la cola desde cero</t>
  </si>
  <si>
    <t>A 12 / D 24 / TI 12 / QA 16</t>
  </si>
  <si>
    <t>Bloqueado</t>
  </si>
  <si>
    <t>Bloqueado hasta resolver la decisión de ambiente Cloud; fechas tentativas sujetas a desbloqueo.</t>
  </si>
  <si>
    <t>1.4</t>
  </si>
  <si>
    <t>Planificador, workers, reservas y ejecucion repetible</t>
  </si>
  <si>
    <t>1.5</t>
  </si>
  <si>
    <t>Errores, reintentos, recuperación y bloqueo</t>
  </si>
  <si>
    <t>1.6</t>
  </si>
  <si>
    <t>Consolidacion final por cliente y correo único</t>
  </si>
  <si>
    <t>1.7</t>
  </si>
  <si>
    <t>DB: Monitoreo y operación de estados de cola</t>
  </si>
  <si>
    <t>Depende de 1.3; fechas tentativas sujetas a desbloqueo.</t>
  </si>
  <si>
    <t>1.8</t>
  </si>
  <si>
    <t>Contrato comun para apertura, extraccion y evidencia</t>
  </si>
  <si>
    <t>1.9</t>
  </si>
  <si>
    <t>Implementacion inicial en dos portales para validar el patron</t>
  </si>
  <si>
    <t>1.10</t>
  </si>
  <si>
    <t>Apertura en las otras 22 jurisdicciones con clase + fortalecimiento de la identificación de notificaciones</t>
  </si>
  <si>
    <t>1.11</t>
  </si>
  <si>
    <t>Cobertura de Santa Fe y Tierra del Fuego, si corresponden al servicio</t>
  </si>
  <si>
    <t>Condicionado al relevamiento 1.2; excluido de horas y fechas.</t>
  </si>
  <si>
    <t>1.12</t>
  </si>
  <si>
    <t>Regresion integral de jurisdicciones y salida por tandas</t>
  </si>
  <si>
    <t>1.13</t>
  </si>
  <si>
    <t>PDD, SDD y manual de uso</t>
  </si>
  <si>
    <t>Estimación preliminar nueva; validar con quienes aprueban la documentación.</t>
  </si>
  <si>
    <t>1.D</t>
  </si>
  <si>
    <t>1.P</t>
  </si>
  <si>
    <t>Producción: 80 h</t>
  </si>
  <si>
    <t>Cloud condicional | En paralelo con Alcance 1</t>
  </si>
  <si>
    <t>C.0</t>
  </si>
  <si>
    <t>Creación del entorno Cloud (producción/QA) y disponibilidad de Azure Blob Storage, permisos y ambientes</t>
  </si>
  <si>
    <t>Hito externo, sin estimar</t>
  </si>
  <si>
    <t>México/Alan debe confirmar acceso, ambientes, permisos y Blob. Sin fecha comprometida.</t>
  </si>
  <si>
    <t>C.1</t>
  </si>
  <si>
    <t>Arquitectura, modelo de datos y separación QA/Producción</t>
  </si>
  <si>
    <t>Proyección condicional: acceso Cloud pendiente de confirmación; requiere capacidad de infraestructura y QA propia para ir en paralelo.</t>
  </si>
  <si>
    <t>C.2</t>
  </si>
  <si>
    <t>Ambientes cloud, conectividad, secretos, despliegue y monitoreo</t>
  </si>
  <si>
    <t>C.3</t>
  </si>
  <si>
    <t>Migración o convivencia de datos y evidencias; plan de regreso</t>
  </si>
  <si>
    <t>C.4</t>
  </si>
  <si>
    <t>Subir evidencias desde Python a Blob, registrar referencias y probar fallos</t>
  </si>
  <si>
    <t>C.D</t>
  </si>
  <si>
    <t>C.P</t>
  </si>
  <si>
    <t>Producción: 32 h</t>
  </si>
  <si>
    <t>Condicional a habilitación Cloud; producción estimada de infraestructura.</t>
  </si>
  <si>
    <t>Total etapa</t>
  </si>
  <si>
    <t>Acumulado V2</t>
  </si>
  <si>
    <t>NFE Alert V2 | Etapa 2</t>
  </si>
  <si>
    <t>IA y micrositio. Cada escenario comienza al siguiente día hábil del cierre respectivo de Etapa 1. Equipo interno: 12 h/día; QA/Producción: 8 h/día en carril separado.</t>
  </si>
  <si>
    <t>Escenario base | IA + micrositio original</t>
  </si>
  <si>
    <t>FEB 27</t>
  </si>
  <si>
    <t>MAR 27</t>
  </si>
  <si>
    <t>ABR 27</t>
  </si>
  <si>
    <t>MAY 27</t>
  </si>
  <si>
    <t>JUN 27</t>
  </si>
  <si>
    <t>Alcance 2 | Integración con IA</t>
  </si>
  <si>
    <t>2.1</t>
  </si>
  <si>
    <t>Aprendizaje, acceso a Copilot Studio y prueba de concepto con casos reales anonimizados</t>
  </si>
  <si>
    <t>2.2</t>
  </si>
  <si>
    <t>FastAPI y conector de Power Platform; autenticación y datos permitidos</t>
  </si>
  <si>
    <t>2.3</t>
  </si>
  <si>
    <t>Índice SQL y consulta controlada de evidencias e historial; Blob si está disponible</t>
  </si>
  <si>
    <t>2.4</t>
  </si>
  <si>
    <t>Interpretacion y clasificación de resultados e incidencias</t>
  </si>
  <si>
    <t>2.5</t>
  </si>
  <si>
    <t>Recomendacion de reintentos con reglas de seguridad en Python</t>
  </si>
  <si>
    <t>2.6</t>
  </si>
  <si>
    <t>Detección de anomalías, alertas y resúmenes del proceso</t>
  </si>
  <si>
    <t>2.7</t>
  </si>
  <si>
    <t>Borrador de correo por cliente sobre resultados validados; envío sujeto a revisión humana</t>
  </si>
  <si>
    <t>2.8</t>
  </si>
  <si>
    <t>Priorizacion por historial de MonitoreoBots y jurisdicción</t>
  </si>
  <si>
    <t>2.9</t>
  </si>
  <si>
    <t>Evaluación en sombra, aprobación humana y activacion gradual</t>
  </si>
  <si>
    <t>2.D</t>
  </si>
  <si>
    <t>2.P</t>
  </si>
  <si>
    <t>Producción: 48 h</t>
  </si>
  <si>
    <t>Alcance 3 | Micrositio y API</t>
  </si>
  <si>
    <t>3.1</t>
  </si>
  <si>
    <t>Flujos de usuarios, roles, pantallas y reglas de negocio</t>
  </si>
  <si>
    <t>3.2</t>
  </si>
  <si>
    <t>API de alta, baja y modificación de clientes, jurisdicciones y reglas</t>
  </si>
  <si>
    <t>3.3</t>
  </si>
  <si>
    <t>Pantallas de búsqueda, alta, baja, edición y confirmación de cambios</t>
  </si>
  <si>
    <t>3.4</t>
  </si>
  <si>
    <t>Permisos, aprobaciones e historial visible de cambios</t>
  </si>
  <si>
    <t>3.5</t>
  </si>
  <si>
    <t>QA integral, despliegue y traspaso operativo</t>
  </si>
  <si>
    <t>Oven Pereyra</t>
  </si>
  <si>
    <t>3.D</t>
  </si>
  <si>
    <t>3.P</t>
  </si>
  <si>
    <t>Escenario ampliado | IA + micrositio unificado (0 V2 + 3)</t>
  </si>
  <si>
    <t>Micrositio unificado | Alcance 0 V2 + Alcance 3, sin doble conteo</t>
  </si>
  <si>
    <t>M.1</t>
  </si>
  <si>
    <t>Definir flujos, campos editables, perfiles, pantallas y reglas</t>
  </si>
  <si>
    <t>Absorbe 0V2.1 en 3.1; sin duplicar análisis de base.</t>
  </si>
  <si>
    <t>M.2</t>
  </si>
  <si>
    <t>API unificada de clientes, jurisdicciones y reglas; validación, transacciones y auditoría</t>
  </si>
  <si>
    <t>M.3</t>
  </si>
  <si>
    <t>Web de consulta, alta, baja, edición y confirmación de cambios</t>
  </si>
  <si>
    <t>Absorbe 0V2.5 en 3.3; una sola interfaz.</t>
  </si>
  <si>
    <t>M.4</t>
  </si>
  <si>
    <t>Permisos por cliente, credenciales seguras, aprobaciones e historial visible</t>
  </si>
  <si>
    <t>M.5</t>
  </si>
  <si>
    <t>Prueba integral, documentación, despliegue y traspaso operativo</t>
  </si>
  <si>
    <t>M.D</t>
  </si>
  <si>
    <t>M.P</t>
  </si>
  <si>
    <t>Producción única del micrositio integrado; sustituye 0V2.P y 3.P.</t>
  </si>
  <si>
    <t>0.4</t>
  </si>
  <si>
    <t>A 12 / D 0 / TI 0 / QA 0</t>
  </si>
  <si>
    <t>A 6 / D 24 / TI 12 / QA 16</t>
  </si>
  <si>
    <t>C.5</t>
  </si>
  <si>
    <t>Objetivo tentativo de IA: 31/03/2027; fin calculado: 19/04/2027, por lo que el objetivo no se cumple con estas horas y capacidad. La tarea 2.7 queda tentativa y fuera del cronograma.</t>
  </si>
  <si>
    <t>Tentativa; fuera del cronograma</t>
  </si>
  <si>
    <t>Tentativa</t>
  </si>
  <si>
    <t>Tentativa y fuera del cronograma; el correo requiere revisión humana.</t>
  </si>
  <si>
    <t>2.10</t>
  </si>
  <si>
    <t>3.6</t>
  </si>
  <si>
    <t>3.2 (116 h) + 38 h incrementales para reutilización y control; absorbe 0V2.2 y 0V2.3.</t>
  </si>
  <si>
    <t>3.4 (80 h) + 20 h incrementales para controles específicos de 0V2.4.</t>
  </si>
  <si>
    <t>3.5 (46 h) + 10 h de documentación/validación de cambios; absorbe 0V2.6.</t>
  </si>
  <si>
    <t>M.6</t>
  </si>
  <si>
    <t>A 6 / D 18 / TI 12 / QA 16</t>
  </si>
  <si>
    <t>A 6 / D 0 / TI 0 / QA 16</t>
  </si>
  <si>
    <t>A 6 / D 30 / TI 12 / QA 24</t>
  </si>
  <si>
    <t>A 6 / D 6 / TI 6 / QA 24</t>
  </si>
  <si>
    <t>A 6 / D 12 / TI 18 / QA 16</t>
  </si>
  <si>
    <t>A 6 / D 18 / TI 6 / QA 16</t>
  </si>
  <si>
    <t>A 12 / D 12 / TI 12 / QA 16</t>
  </si>
  <si>
    <t>A 6 / D 12 / TI 24 / QA 40</t>
  </si>
  <si>
    <t>A 0 / D 36 / TI 24 / QA 72</t>
  </si>
  <si>
    <t>A 12 / D 18 / TI 12 / QA 56</t>
  </si>
  <si>
    <t>A 12 / D 12 / TI 6 / QA 8</t>
  </si>
  <si>
    <t>A 12 / D 36 / TI 12 / QA 16</t>
  </si>
  <si>
    <t>A 6 / D 18 / TI 12 / QA 12</t>
  </si>
  <si>
    <t>A 18 / D 18 / TI 12 / QA 8</t>
  </si>
  <si>
    <t>A 18 / D 24 / TI 12 / QA 16</t>
  </si>
  <si>
    <t>A 12 / D 24 / TI 18 / QA 16</t>
  </si>
  <si>
    <t>A 12 / D 18 / TI 12 / QA 16</t>
  </si>
  <si>
    <t>A 6 / D 12 / TI 12 / QA 32</t>
  </si>
  <si>
    <t>A 6 / D 0 / TI 0 / QA 0</t>
  </si>
  <si>
    <t>A 12 / D 18 / TI 12 / QA 8</t>
  </si>
  <si>
    <t>A 12 / D 36 / TI 18 / QA 16</t>
  </si>
  <si>
    <t>A 12 / D 42 / TI 12 / QA 24</t>
  </si>
  <si>
    <t>A 6 / D 12 / TI 6 / QA 16</t>
  </si>
  <si>
    <t>A 12 / D 48 / TI 24 / QA 20</t>
  </si>
  <si>
    <t>A 18 / D 30 / TI 12 / QA 20</t>
  </si>
  <si>
    <t>Cloud se cuenta solo en Etapa 1. IA termina calculada el 19/04/2027 frente al objetivo tentativo 31/03/2027. Micrositio unificado: 424 h tras los ajustes de Análisis y documentación; validar con diseño/código.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</si>
</sst>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sz val="10"/>
      <color rgb="FF223247"/>
      <name val="Aptos"/>
      <family val="2"/>
    </font>
    <font>
      <b/>
      <sz val="21"/>
      <color rgb="FF17324D"/>
      <name val="Aptos Display"/>
      <family val="2"/>
    </font>
    <font>
      <sz val="10"/>
      <color rgb="FF4A5C6E"/>
      <name val="Aptos"/>
      <family val="2"/>
    </font>
    <font>
      <b/>
      <sz val="9"/>
      <color rgb="FF223247"/>
      <name val="Aptos"/>
      <family val="2"/>
    </font>
    <font>
      <b/>
      <sz val="9"/>
      <color rgb="FF17324D"/>
      <name val="Aptos"/>
      <family val="2"/>
    </font>
    <font>
      <b/>
      <sz val="11"/>
      <color rgb="FFFFFFFF"/>
      <name val="Aptos"/>
      <family val="2"/>
    </font>
    <font>
      <b/>
      <sz val="10"/>
      <color rgb="FF17324D"/>
      <name val="Aptos"/>
      <family val="2"/>
    </font>
    <font>
      <sz val="9"/>
      <color rgb="FF223247"/>
      <name val="Aptos"/>
      <family val="2"/>
    </font>
    <font>
      <b/>
      <sz val="9"/>
      <color rgb="FF204E78"/>
      <name val="Aptos"/>
      <family val="2"/>
    </font>
    <font>
      <b/>
      <sz val="9"/>
      <color rgb="FFFFFFFF"/>
      <name val="Aptos"/>
      <family val="2"/>
    </font>
    <font>
      <b/>
      <sz val="8"/>
      <color rgb="FFFFFFFF"/>
      <name val="Aptos"/>
      <family val="2"/>
    </font>
    <font>
      <b/>
      <sz val="10"/>
      <color rgb="FF204E78"/>
      <name val="Aptos"/>
      <family val="2"/>
    </font>
    <font>
      <b/>
      <sz val="8"/>
      <color rgb="FF223247"/>
      <name val="Aptos"/>
      <family val="2"/>
    </font>
    <font>
      <b/>
      <sz val="10"/>
      <color rgb="FFFFFFFF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A9D18E"/>
      </patternFill>
    </fill>
    <fill>
      <patternFill patternType="solid">
        <fgColor rgb="FF9DC3E6"/>
      </patternFill>
    </fill>
    <fill>
      <patternFill patternType="solid">
        <fgColor rgb="FFC9B2E8"/>
      </patternFill>
    </fill>
    <fill>
      <patternFill patternType="solid">
        <fgColor rgb="FFB7B7B7"/>
      </patternFill>
    </fill>
    <fill>
      <patternFill patternType="solid">
        <fgColor rgb="FFE7F4E4"/>
      </patternFill>
    </fill>
    <fill>
      <patternFill patternType="solid">
        <fgColor rgb="FFFCE4D6"/>
      </patternFill>
    </fill>
    <fill>
      <patternFill patternType="solid">
        <fgColor rgb="FF204E78"/>
      </patternFill>
    </fill>
    <fill>
      <patternFill patternType="solid">
        <fgColor rgb="FFFFFFFF"/>
      </patternFill>
    </fill>
    <fill>
      <patternFill patternType="solid">
        <fgColor rgb="FF17324D"/>
      </patternFill>
    </fill>
    <fill>
      <patternFill patternType="solid">
        <fgColor rgb="FFEAF1F8"/>
      </patternFill>
    </fill>
    <fill>
      <patternFill patternType="solid">
        <fgColor rgb="FFFFF7E5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E2EC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vertical="center"/>
    </xf>
    <xf numFmtId="0" fontId="4" fillId="6" borderId="0" xfId="0" applyFont="1" applyFill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6" fontId="13" fillId="6" borderId="0" xfId="0" applyNumberFormat="1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9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4" fillId="13" borderId="0" xfId="0" applyFont="1" applyFill="1" applyAlignment="1">
      <alignment horizontal="center" vertical="center" wrapText="1"/>
    </xf>
    <xf numFmtId="0" fontId="5" fillId="12" borderId="0" xfId="0" applyFont="1" applyFill="1" applyAlignment="1">
      <alignment vertical="center"/>
    </xf>
    <xf numFmtId="0" fontId="5" fillId="12" borderId="0" xfId="0" applyFont="1" applyFill="1" applyAlignment="1">
      <alignment vertical="center" wrapText="1"/>
    </xf>
    <xf numFmtId="0" fontId="1" fillId="11" borderId="0" xfId="0" applyFont="1" applyFill="1" applyAlignment="1">
      <alignment vertical="center"/>
    </xf>
    <xf numFmtId="0" fontId="7" fillId="10" borderId="0" xfId="0" applyFont="1" applyFill="1" applyAlignment="1">
      <alignment vertical="center" wrapText="1"/>
    </xf>
    <xf numFmtId="0" fontId="7" fillId="10" borderId="0" xfId="0" applyFont="1" applyFill="1" applyAlignment="1">
      <alignment vertical="center"/>
    </xf>
    <xf numFmtId="14" fontId="7" fillId="10" borderId="0" xfId="0" applyNumberFormat="1" applyFont="1" applyFill="1" applyAlignment="1">
      <alignment vertical="center" wrapText="1"/>
    </xf>
    <xf numFmtId="14" fontId="7" fillId="10" borderId="0" xfId="0" applyNumberFormat="1" applyFont="1" applyFill="1" applyAlignment="1">
      <alignment vertical="center"/>
    </xf>
    <xf numFmtId="0" fontId="9" fillId="12" borderId="0" xfId="0" applyFont="1" applyFill="1" applyAlignment="1">
      <alignment vertical="center"/>
    </xf>
    <xf numFmtId="0" fontId="10" fillId="9" borderId="0" xfId="0" applyFont="1" applyFill="1" applyAlignment="1">
      <alignment horizontal="center" vertical="center" wrapText="1"/>
    </xf>
    <xf numFmtId="16" fontId="11" fillId="9" borderId="0" xfId="0" applyNumberFormat="1" applyFont="1" applyFill="1" applyAlignment="1">
      <alignment horizontal="center" vertical="center"/>
    </xf>
    <xf numFmtId="0" fontId="12" fillId="12" borderId="0" xfId="0" applyFont="1" applyFill="1" applyAlignment="1">
      <alignment vertical="center"/>
    </xf>
    <xf numFmtId="0" fontId="12" fillId="12" borderId="0" xfId="0" applyFont="1" applyFill="1" applyAlignment="1">
      <alignment vertical="center" wrapText="1"/>
    </xf>
    <xf numFmtId="0" fontId="1" fillId="12" borderId="0" xfId="0" applyFont="1" applyFill="1" applyAlignment="1">
      <alignment vertical="center"/>
    </xf>
    <xf numFmtId="0" fontId="1" fillId="10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14" fontId="1" fillId="10" borderId="1" xfId="0" applyNumberFormat="1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14" fontId="12" fillId="12" borderId="0" xfId="0" applyNumberFormat="1" applyFont="1" applyFill="1" applyAlignment="1">
      <alignment vertical="center"/>
    </xf>
    <xf numFmtId="0" fontId="14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14" fontId="14" fillId="9" borderId="0" xfId="0" applyNumberFormat="1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10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12" fillId="12" borderId="0" xfId="0" applyFont="1" applyFill="1" applyAlignment="1">
      <alignment vertical="center"/>
    </xf>
    <xf numFmtId="0" fontId="12" fillId="12" borderId="0" xfId="0" applyFont="1" applyFill="1" applyAlignment="1">
      <alignment vertical="center" wrapText="1"/>
    </xf>
    <xf numFmtId="0" fontId="6" fillId="11" borderId="0" xfId="0" applyFont="1" applyFill="1" applyAlignment="1">
      <alignment vertical="center"/>
    </xf>
    <xf numFmtId="0" fontId="6" fillId="11" borderId="0" xfId="0" applyFont="1" applyFill="1" applyAlignment="1">
      <alignment vertical="center" wrapText="1"/>
    </xf>
    <xf numFmtId="0" fontId="8" fillId="13" borderId="0" xfId="0" applyFont="1" applyFill="1" applyAlignment="1">
      <alignment vertical="center" wrapText="1"/>
    </xf>
    <xf numFmtId="1" fontId="12" fillId="12" borderId="0" xfId="0" applyNumberFormat="1" applyFont="1" applyFill="1" applyAlignment="1">
      <alignment vertical="center"/>
    </xf>
    <xf numFmtId="1" fontId="14" fillId="9" borderId="0" xfId="0" applyNumberFormat="1" applyFont="1" applyFill="1" applyAlignment="1">
      <alignment vertical="center"/>
    </xf>
    <xf numFmtId="1" fontId="7" fillId="10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4E78"/>
  </sheetPr>
  <dimension ref="A1:EC56"/>
  <sheetViews>
    <sheetView showGridLines="0" topLeftCell="A39" zoomScale="70" zoomScaleNormal="70" workbookViewId="0">
      <pane xSplit="9" topLeftCell="AV1" activePane="topRight" state="frozen"/>
      <selection activeCell="A2" sqref="A2"/>
      <selection pane="topRight" activeCell="H23" sqref="H23"/>
    </sheetView>
  </sheetViews>
  <sheetFormatPr defaultRowHeight="14"/>
  <cols>
    <col min="1" max="1" width="5.75" customWidth="1"/>
    <col min="2" max="2" width="42.33203125" customWidth="1"/>
    <col min="3" max="3" width="4.83203125" customWidth="1"/>
    <col min="4" max="4" width="14.08203125" style="17" bestFit="1" customWidth="1"/>
    <col min="5" max="5" width="11" customWidth="1"/>
    <col min="6" max="6" width="9.33203125" customWidth="1"/>
    <col min="7" max="7" width="9.83203125" customWidth="1"/>
    <col min="8" max="8" width="27.58203125" customWidth="1"/>
    <col min="9" max="9" width="15.5" bestFit="1" customWidth="1"/>
    <col min="10" max="133" width="5.58203125" customWidth="1"/>
  </cols>
  <sheetData>
    <row r="1" spans="1:133" ht="3.65" hidden="1" customHeight="1">
      <c r="A1" s="1"/>
      <c r="B1" s="2"/>
      <c r="C1" s="1"/>
      <c r="D1" s="2"/>
      <c r="E1" s="1"/>
      <c r="F1" s="1"/>
      <c r="G1" s="1"/>
      <c r="H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</row>
    <row r="2" spans="1:133" ht="21" customHeight="1">
      <c r="A2" s="48" t="s">
        <v>0</v>
      </c>
      <c r="B2" s="49"/>
      <c r="C2" s="48"/>
      <c r="D2" s="48"/>
      <c r="E2" s="48"/>
      <c r="F2" s="48"/>
      <c r="G2" s="48"/>
      <c r="H2" s="49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</row>
    <row r="3" spans="1:133" ht="19.5" customHeight="1">
      <c r="A3" s="50" t="inlineStr">
        <is>
          <t>Clientes, correo global y cola de trabajo. A/D/TI: 1 persona x 6 h/día; QA y Producción: carriles separados de 8 h/día. Cloud paralelo requiere capacidad de infraestructura independiente.</t>
        </is>
      </c>
      <c r="B3" s="50"/>
      <c r="C3" s="50"/>
      <c r="D3" s="50"/>
      <c r="E3" s="50"/>
      <c r="F3" s="50"/>
      <c r="G3" s="50"/>
      <c r="H3" s="50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</row>
    <row r="4" spans="1:133" ht="24">
      <c r="A4" s="3" t="s">
        <v>2</v>
      </c>
      <c r="B4" s="4" t="s">
        <v>3</v>
      </c>
      <c r="C4" s="5" t="s">
        <v>4</v>
      </c>
      <c r="D4" s="6" t="s">
        <v>5</v>
      </c>
      <c r="E4" s="8" t="s">
        <v>6</v>
      </c>
      <c r="F4" s="22" t="s">
        <v>7</v>
      </c>
      <c r="G4" s="23" t="s">
        <v>8</v>
      </c>
      <c r="H4" s="24" t="s">
        <v>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1:133" ht="7" customHeight="1">
      <c r="A5" s="1"/>
      <c r="B5" s="2"/>
      <c r="C5" s="1"/>
      <c r="D5" s="2"/>
      <c r="E5" s="1"/>
      <c r="F5" s="1"/>
      <c r="G5" s="1"/>
      <c r="H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</row>
    <row r="6" spans="1:133" ht="27" customHeight="1">
      <c r="A6" s="53" t="s">
        <v>10</v>
      </c>
      <c r="B6" s="54"/>
      <c r="C6" s="53"/>
      <c r="D6" s="53"/>
      <c r="E6" s="53"/>
      <c r="F6" s="53"/>
      <c r="G6" s="53"/>
      <c r="H6" s="54"/>
      <c r="I6" s="19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</row>
    <row r="7" spans="1:133" ht="27" customHeight="1">
      <c r="A7" s="26" t="s">
        <v>11</v>
      </c>
      <c r="B7" s="58">
        <f>C54</f>
        <v>1164</v>
      </c>
      <c r="C7" s="27" t="s">
        <v>12</v>
      </c>
      <c r="D7" s="28">
        <v>46314</v>
      </c>
      <c r="E7" s="27" t="s">
        <v>13</v>
      </c>
      <c r="F7" s="29">
        <v>46457</v>
      </c>
      <c r="G7" s="27"/>
      <c r="H7" s="26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</row>
    <row r="8" spans="1:133" ht="36.65" customHeight="1">
      <c r="A8" s="55" t="inlineStr">
        <is>
          <t>Fechas más tempranas: Cloud requiere accesos y capacidad; 0.P depende de aprobación Snyk (espera no estimada). 0.M, 1.2 y 1.11 siguen sin estimar.</t>
        </is>
      </c>
      <c r="B8" s="55"/>
      <c r="C8" s="55"/>
      <c r="D8" s="55"/>
      <c r="E8" s="55"/>
      <c r="F8" s="55"/>
      <c r="G8" s="55"/>
      <c r="H8" s="55"/>
      <c r="I8" s="2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</row>
    <row r="9" spans="1:133" ht="20.149999999999999" customHeight="1">
      <c r="A9" s="1"/>
      <c r="B9" s="2"/>
      <c r="C9" s="1"/>
      <c r="D9" s="2"/>
      <c r="E9" s="1"/>
      <c r="F9" s="1"/>
      <c r="G9" s="1"/>
      <c r="H9" s="2"/>
      <c r="J9" s="30" t="inlineStr">
        <is>
          <t>SEPT 26</t>
        </is>
      </c>
      <c r="K9" s="30"/>
      <c r="L9" s="30"/>
      <c r="M9" s="30" t="inlineStr">
        <is>
          <t>OCT 26</t>
        </is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 t="inlineStr">
        <is>
          <t>NOV 26</t>
        </is>
      </c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 t="inlineStr">
        <is>
          <t>DIC 26</t>
        </is>
      </c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 t="inlineStr">
        <is>
          <t>ENE 27</t>
        </is>
      </c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 t="inlineStr">
        <is>
          <t>FEB 27</t>
        </is>
      </c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 t="inlineStr">
        <is>
          <t>MAR 27</t>
        </is>
      </c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</row>
    <row r="10" spans="1:133" ht="32.15" customHeight="1">
      <c r="A10" s="31" t="s">
        <v>20</v>
      </c>
      <c r="B10" s="31" t="s">
        <v>21</v>
      </c>
      <c r="C10" s="31" t="s">
        <v>22</v>
      </c>
      <c r="D10" s="31" t="s">
        <v>23</v>
      </c>
      <c r="E10" s="31" t="s">
        <v>12</v>
      </c>
      <c r="F10" s="31" t="s">
        <v>24</v>
      </c>
      <c r="G10" s="31" t="s">
        <v>8</v>
      </c>
      <c r="H10" s="31" t="s">
        <v>25</v>
      </c>
      <c r="I10" s="31" t="s">
        <v>26</v>
      </c>
      <c r="J10" s="32">
        <v>46293</v>
      </c>
      <c r="K10" s="32">
        <v>46294</v>
      </c>
      <c r="L10" s="32">
        <v>46295</v>
      </c>
      <c r="M10" s="32">
        <v>46296</v>
      </c>
      <c r="N10" s="32">
        <v>46297</v>
      </c>
      <c r="O10" s="32">
        <v>46300</v>
      </c>
      <c r="P10" s="32">
        <v>46301</v>
      </c>
      <c r="Q10" s="32">
        <v>46302</v>
      </c>
      <c r="R10" s="32">
        <v>46303</v>
      </c>
      <c r="S10" s="32">
        <v>46304</v>
      </c>
      <c r="T10" s="16">
        <v>46307</v>
      </c>
      <c r="U10" s="32">
        <v>46308</v>
      </c>
      <c r="V10" s="32">
        <v>46309</v>
      </c>
      <c r="W10" s="32">
        <v>46310</v>
      </c>
      <c r="X10" s="32">
        <v>46311</v>
      </c>
      <c r="Y10" s="32">
        <v>46314</v>
      </c>
      <c r="Z10" s="32">
        <v>46315</v>
      </c>
      <c r="AA10" s="32">
        <v>46316</v>
      </c>
      <c r="AB10" s="32">
        <v>46317</v>
      </c>
      <c r="AC10" s="32">
        <v>46318</v>
      </c>
      <c r="AD10" s="32">
        <v>46321</v>
      </c>
      <c r="AE10" s="32">
        <v>46322</v>
      </c>
      <c r="AF10" s="32">
        <v>46323</v>
      </c>
      <c r="AG10" s="32">
        <v>46324</v>
      </c>
      <c r="AH10" s="32">
        <v>46325</v>
      </c>
      <c r="AI10" s="32">
        <v>46328</v>
      </c>
      <c r="AJ10" s="32">
        <v>46329</v>
      </c>
      <c r="AK10" s="32">
        <v>46330</v>
      </c>
      <c r="AL10" s="32">
        <v>46331</v>
      </c>
      <c r="AM10" s="32">
        <v>46332</v>
      </c>
      <c r="AN10" s="16">
        <v>46335</v>
      </c>
      <c r="AO10" s="32">
        <v>46336</v>
      </c>
      <c r="AP10" s="32">
        <v>46337</v>
      </c>
      <c r="AQ10" s="32">
        <v>46338</v>
      </c>
      <c r="AR10" s="32">
        <v>46339</v>
      </c>
      <c r="AS10" s="32">
        <v>46342</v>
      </c>
      <c r="AT10" s="32">
        <v>46343</v>
      </c>
      <c r="AU10" s="32">
        <v>46344</v>
      </c>
      <c r="AV10" s="32">
        <v>46345</v>
      </c>
      <c r="AW10" s="32">
        <v>46346</v>
      </c>
      <c r="AX10" s="16">
        <v>46349</v>
      </c>
      <c r="AY10" s="32">
        <v>46350</v>
      </c>
      <c r="AZ10" s="32">
        <v>46351</v>
      </c>
      <c r="BA10" s="32">
        <v>46352</v>
      </c>
      <c r="BB10" s="32">
        <v>46353</v>
      </c>
      <c r="BC10" s="32">
        <v>46356</v>
      </c>
      <c r="BD10" s="32">
        <v>46357</v>
      </c>
      <c r="BE10" s="32">
        <v>46358</v>
      </c>
      <c r="BF10" s="32">
        <v>46359</v>
      </c>
      <c r="BG10" s="32">
        <v>46360</v>
      </c>
      <c r="BH10" s="32">
        <v>46363</v>
      </c>
      <c r="BI10" s="16">
        <v>46364</v>
      </c>
      <c r="BJ10" s="32">
        <v>46365</v>
      </c>
      <c r="BK10" s="32">
        <v>46366</v>
      </c>
      <c r="BL10" s="32">
        <v>46367</v>
      </c>
      <c r="BM10" s="32">
        <v>46370</v>
      </c>
      <c r="BN10" s="32">
        <v>46371</v>
      </c>
      <c r="BO10" s="32">
        <v>46372</v>
      </c>
      <c r="BP10" s="32">
        <v>46373</v>
      </c>
      <c r="BQ10" s="32">
        <v>46374</v>
      </c>
      <c r="BR10" s="32">
        <v>46377</v>
      </c>
      <c r="BS10" s="32">
        <v>46378</v>
      </c>
      <c r="BT10" s="32">
        <v>46379</v>
      </c>
      <c r="BU10" s="32">
        <v>46380</v>
      </c>
      <c r="BV10" s="16">
        <v>46381</v>
      </c>
      <c r="BW10" s="32">
        <v>46384</v>
      </c>
      <c r="BX10" s="32">
        <v>46385</v>
      </c>
      <c r="BY10" s="32">
        <v>46386</v>
      </c>
      <c r="BZ10" s="32">
        <v>46387</v>
      </c>
      <c r="CA10" s="16">
        <v>46388</v>
      </c>
      <c r="CB10" s="32">
        <v>46391</v>
      </c>
      <c r="CC10" s="32">
        <v>46392</v>
      </c>
      <c r="CD10" s="32">
        <v>46393</v>
      </c>
      <c r="CE10" s="32">
        <v>46394</v>
      </c>
      <c r="CF10" s="32">
        <v>46395</v>
      </c>
      <c r="CG10" s="32">
        <v>46398</v>
      </c>
      <c r="CH10" s="32">
        <v>46399</v>
      </c>
      <c r="CI10" s="32">
        <v>46400</v>
      </c>
      <c r="CJ10" s="32">
        <v>46401</v>
      </c>
      <c r="CK10" s="32">
        <v>46402</v>
      </c>
      <c r="CL10" s="32">
        <v>46405</v>
      </c>
      <c r="CM10" s="32">
        <v>46406</v>
      </c>
      <c r="CN10" s="32">
        <v>46407</v>
      </c>
      <c r="CO10" s="32">
        <v>46408</v>
      </c>
      <c r="CP10" s="32">
        <v>46409</v>
      </c>
      <c r="CQ10" s="32">
        <v>46412</v>
      </c>
      <c r="CR10" s="32">
        <v>46413</v>
      </c>
      <c r="CS10" s="32">
        <v>46414</v>
      </c>
      <c r="CT10" s="32">
        <v>46415</v>
      </c>
      <c r="CU10" s="32">
        <v>46416</v>
      </c>
      <c r="CV10" s="32">
        <v>46419</v>
      </c>
      <c r="CW10" s="32">
        <v>46420</v>
      </c>
      <c r="CX10" s="32">
        <v>46421</v>
      </c>
      <c r="CY10" s="32">
        <v>46422</v>
      </c>
      <c r="CZ10" s="32">
        <v>46423</v>
      </c>
      <c r="DA10" s="16">
        <v>46426</v>
      </c>
      <c r="DB10" s="16">
        <v>46427</v>
      </c>
      <c r="DC10" s="32">
        <v>46428</v>
      </c>
      <c r="DD10" s="32">
        <v>46429</v>
      </c>
      <c r="DE10" s="32">
        <v>46430</v>
      </c>
      <c r="DF10" s="32">
        <v>46433</v>
      </c>
      <c r="DG10" s="32">
        <v>46434</v>
      </c>
      <c r="DH10" s="32">
        <v>46435</v>
      </c>
      <c r="DI10" s="32">
        <v>46436</v>
      </c>
      <c r="DJ10" s="32">
        <v>46437</v>
      </c>
      <c r="DK10" s="32">
        <v>46440</v>
      </c>
      <c r="DL10" s="32">
        <v>46441</v>
      </c>
      <c r="DM10" s="32">
        <v>46442</v>
      </c>
      <c r="DN10" s="32">
        <v>46443</v>
      </c>
      <c r="DO10" s="32">
        <v>46444</v>
      </c>
      <c r="DP10" s="32">
        <v>46447</v>
      </c>
      <c r="DQ10" s="32">
        <v>46448</v>
      </c>
      <c r="DR10" s="32">
        <v>46449</v>
      </c>
      <c r="DS10" s="32">
        <v>46450</v>
      </c>
      <c r="DT10" s="32">
        <v>46451</v>
      </c>
      <c r="DU10" s="32">
        <v>46454</v>
      </c>
      <c r="DV10" s="32">
        <v>46455</v>
      </c>
      <c r="DW10" s="32">
        <v>46456</v>
      </c>
      <c r="DX10" s="32">
        <v>46457</v>
      </c>
      <c r="DY10" s="32">
        <v>46458</v>
      </c>
      <c r="DZ10" s="32">
        <v>46461</v>
      </c>
      <c r="EA10" s="32">
        <v>46462</v>
      </c>
      <c r="EB10" s="32">
        <v>46463</v>
      </c>
      <c r="EC10" s="32">
        <v>46464</v>
      </c>
    </row>
    <row r="11" spans="1:133" ht="25" customHeight="1">
      <c r="A11" s="51" t="s">
        <v>27</v>
      </c>
      <c r="B11" s="52"/>
      <c r="C11" s="51"/>
      <c r="D11" s="51"/>
      <c r="E11" s="51"/>
      <c r="F11" s="51"/>
      <c r="G11" s="51"/>
      <c r="H11" s="52"/>
      <c r="I11" s="20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7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7"/>
      <c r="AO11" s="35"/>
      <c r="AP11" s="35"/>
      <c r="AQ11" s="35"/>
      <c r="AR11" s="35"/>
      <c r="AS11" s="35"/>
      <c r="AT11" s="35"/>
      <c r="AU11" s="35"/>
      <c r="AV11" s="35"/>
      <c r="AW11" s="35"/>
      <c r="AX11" s="7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7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7"/>
      <c r="BW11" s="35"/>
      <c r="BX11" s="35"/>
      <c r="BY11" s="35"/>
      <c r="BZ11" s="35"/>
      <c r="CA11" s="7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</row>
    <row r="12" spans="1:133" ht="48" customHeight="1">
      <c r="A12" s="36" t="s">
        <v>28</v>
      </c>
      <c r="B12" s="37" t="s">
        <v>29</v>
      </c>
      <c r="C12" s="38">
        <v>0</v>
      </c>
      <c r="D12" s="39" t="s">
        <v>30</v>
      </c>
      <c r="E12" s="40">
        <v>46293</v>
      </c>
      <c r="F12" s="40">
        <v>46301</v>
      </c>
      <c r="G12" s="9" t="s">
        <v>31</v>
      </c>
      <c r="H12" s="37" t="s">
        <v>32</v>
      </c>
      <c r="I12" s="39" t="s">
        <v>33</v>
      </c>
      <c r="J12" s="1"/>
      <c r="K12" s="1"/>
      <c r="L12" s="1"/>
      <c r="M12" s="1"/>
      <c r="N12" s="1"/>
      <c r="O12" s="1"/>
      <c r="P12" s="10" t="s">
        <v>34</v>
      </c>
      <c r="Q12" s="1"/>
      <c r="R12" s="1"/>
      <c r="S12" s="1"/>
      <c r="T12" s="7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7"/>
      <c r="AO12" s="1"/>
      <c r="AP12" s="1"/>
      <c r="AQ12" s="1"/>
      <c r="AR12" s="1"/>
      <c r="AS12" s="1"/>
      <c r="AT12" s="1"/>
      <c r="AU12" s="1"/>
      <c r="AV12" s="1"/>
      <c r="AW12" s="1"/>
      <c r="AX12" s="7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7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7"/>
      <c r="BW12" s="1"/>
      <c r="BX12" s="1"/>
      <c r="BY12" s="1"/>
      <c r="BZ12" s="1"/>
      <c r="CA12" s="7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</row>
    <row r="13" spans="1:133" ht="36" customHeight="1">
      <c r="A13" s="36" t="s">
        <v>35</v>
      </c>
      <c r="B13" s="37" t="s">
        <v>36</v>
      </c>
      <c r="C13" s="38">
        <v>14</v>
      </c>
      <c r="D13" s="39" t="s">
        <v>37</v>
      </c>
      <c r="E13" s="40">
        <v>46304</v>
      </c>
      <c r="F13" s="40">
        <v>46308</v>
      </c>
      <c r="G13" s="9" t="s">
        <v>31</v>
      </c>
      <c r="H13" s="37"/>
      <c r="I13" s="39" t="s">
        <v>33</v>
      </c>
      <c r="J13" s="1"/>
      <c r="K13" s="1"/>
      <c r="L13" s="1"/>
      <c r="M13" s="1"/>
      <c r="N13" s="1"/>
      <c r="O13" s="1"/>
      <c r="P13" s="1"/>
      <c r="Q13" s="1"/>
      <c r="R13" s="1"/>
      <c r="S13" s="11" t="s">
        <v>38</v>
      </c>
      <c r="T13" s="7"/>
      <c r="U13" s="10" t="s">
        <v>34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7"/>
      <c r="AO13" s="1"/>
      <c r="AP13" s="1"/>
      <c r="AQ13" s="1"/>
      <c r="AR13" s="1"/>
      <c r="AS13" s="1"/>
      <c r="AT13" s="1"/>
      <c r="AU13" s="1"/>
      <c r="AV13" s="1"/>
      <c r="AW13" s="1"/>
      <c r="AX13" s="7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7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7"/>
      <c r="BW13" s="1"/>
      <c r="BX13" s="1"/>
      <c r="BY13" s="1"/>
      <c r="BZ13" s="1"/>
      <c r="CA13" s="7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</row>
    <row r="14" spans="1:133" ht="48" customHeight="1">
      <c r="A14" s="36" t="s">
        <v>39</v>
      </c>
      <c r="B14" s="37" t="s">
        <v>40</v>
      </c>
      <c r="C14" s="38">
        <v>52</v>
      </c>
      <c r="D14" s="39" t="s">
        <v>195</v>
      </c>
      <c r="E14" s="40">
        <v>46314</v>
      </c>
      <c r="F14" s="40">
        <v>46323</v>
      </c>
      <c r="G14" s="12" t="s">
        <v>41</v>
      </c>
      <c r="H14" s="37" t="inlineStr">
        <is>
          <t>En proceso; se proyectan las 52 h íntegras porque no se informó el avance consumido.</t>
        </is>
      </c>
      <c r="I14" s="39" t="s">
        <v>33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7"/>
      <c r="U14" s="1"/>
      <c r="V14" s="1"/>
      <c r="W14" s="1"/>
      <c r="X14" s="1"/>
      <c r="Y14" s="13" t="s">
        <v>64</v>
      </c>
      <c r="Z14" s="11" t="s">
        <v>44</v>
      </c>
      <c r="AA14" s="11" t="s">
        <v>44</v>
      </c>
      <c r="AB14" s="11" t="s">
        <v>44</v>
      </c>
      <c r="AC14" s="11" t="s">
        <v>38</v>
      </c>
      <c r="AD14" s="11" t="s">
        <v>38</v>
      </c>
      <c r="AE14" s="10" t="s">
        <v>34</v>
      </c>
      <c r="AF14" s="10" t="s">
        <v>34</v>
      </c>
      <c r="AG14" s="1"/>
      <c r="AH14" s="1"/>
      <c r="AI14" s="1"/>
      <c r="AJ14" s="1"/>
      <c r="AK14" s="1"/>
      <c r="AL14" s="1"/>
      <c r="AM14" s="1"/>
      <c r="AN14" s="7"/>
      <c r="AO14" s="1"/>
      <c r="AP14" s="1"/>
      <c r="AQ14" s="1"/>
      <c r="AR14" s="1"/>
      <c r="AS14" s="1"/>
      <c r="AT14" s="1"/>
      <c r="AU14" s="1"/>
      <c r="AV14" s="1"/>
      <c r="AW14" s="1"/>
      <c r="AX14" s="7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7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7"/>
      <c r="BW14" s="1"/>
      <c r="BX14" s="1"/>
      <c r="BY14" s="1"/>
      <c r="BZ14" s="1"/>
      <c r="CA14" s="7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7"/>
      <c r="DB14" s="7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</row>
    <row r="15" spans="1:133" ht="48" customHeight="1">
      <c r="A15" s="36" t="s">
        <v>46</v>
      </c>
      <c r="B15" s="37" t="s">
        <v>47</v>
      </c>
      <c r="C15" s="41"/>
      <c r="D15" s="42" t="s">
        <v>7</v>
      </c>
      <c r="E15" s="40"/>
      <c r="F15" s="40"/>
      <c r="G15" s="38" t="s">
        <v>48</v>
      </c>
      <c r="H15" s="37" t="s">
        <v>49</v>
      </c>
      <c r="I15" s="39" t="s">
        <v>50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7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7"/>
      <c r="AO15" s="1"/>
      <c r="AP15" s="1"/>
      <c r="AQ15" s="1"/>
      <c r="AR15" s="1"/>
      <c r="AS15" s="1"/>
      <c r="AT15" s="1"/>
      <c r="AU15" s="1"/>
      <c r="AV15" s="1"/>
      <c r="AW15" s="1"/>
      <c r="AX15" s="7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7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7"/>
      <c r="BW15" s="1"/>
      <c r="BX15" s="1"/>
      <c r="BY15" s="1"/>
      <c r="BZ15" s="1"/>
      <c r="CA15" s="7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6" spans="1:133" ht="36" customHeight="1">
      <c r="A16" s="36" t="s">
        <v>181</v>
      </c>
      <c r="B16" s="37" t="s">
        <v>95</v>
      </c>
      <c r="C16" s="38">
        <v>12</v>
      </c>
      <c r="D16" s="39" t="s">
        <v>182</v>
      </c>
      <c r="E16" s="40">
        <v>46322</v>
      </c>
      <c r="F16" s="40">
        <v>46323</v>
      </c>
      <c r="G16" s="38" t="s">
        <v>48</v>
      </c>
      <c r="H16" s="37"/>
      <c r="I16" s="39" t="s">
        <v>33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7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3" t="s">
        <v>64</v>
      </c>
      <c r="AF16" s="13" t="s">
        <v>64</v>
      </c>
      <c r="AG16" s="1"/>
      <c r="AH16" s="1"/>
      <c r="AI16" s="1"/>
      <c r="AJ16" s="1"/>
      <c r="AK16" s="1"/>
      <c r="AL16" s="1"/>
      <c r="AM16" s="1"/>
      <c r="AN16" s="7"/>
      <c r="AO16" s="1"/>
      <c r="AP16" s="1"/>
      <c r="AQ16" s="1"/>
      <c r="AR16" s="1"/>
      <c r="AS16" s="1"/>
      <c r="AT16" s="1"/>
      <c r="AU16" s="1"/>
      <c r="AV16" s="1"/>
      <c r="AW16" s="1"/>
      <c r="AX16" s="7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7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7"/>
      <c r="BW16" s="1"/>
      <c r="BX16" s="1"/>
      <c r="BY16" s="1"/>
      <c r="BZ16" s="1"/>
      <c r="CA16" s="7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7"/>
      <c r="DB16" s="7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</row>
    <row r="17" spans="1:133" ht="48" customHeight="1">
      <c r="A17" s="36" t="inlineStr">
        <is>
          <t>0.S1</t>
        </is>
      </c>
      <c r="B17" s="37" t="inlineStr">
        <is>
          <t>Diagnosticar hallazgos de Snyk y confirmar alcance técnico</t>
        </is>
      </c>
      <c r="C17" s="38">
        <v>4</v>
      </c>
      <c r="D17" s="39" t="inlineStr">
        <is>
          <t>A 4 / D 0 / TI 0 / QA 0</t>
        </is>
      </c>
      <c r="E17" s="40">
        <v>46324</v>
      </c>
      <c r="F17" s="40">
        <v>46324</v>
      </c>
      <c r="G17" s="12" t="inlineStr">
        <is>
          <t>Pendiente</t>
        </is>
      </c>
      <c r="H17" s="37" t="inlineStr">
        <is>
          <t>Análisis inicial del reporte vigente.</t>
        </is>
      </c>
      <c r="I17" s="39" t="inlineStr">
        <is>
          <t>Amiel Iriarte</t>
        </is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7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3" t="s">
        <v>64</v>
      </c>
      <c r="AH17" s="1"/>
      <c r="AI17" s="1"/>
      <c r="AJ17" s="1"/>
      <c r="AK17" s="1"/>
      <c r="AL17" s="1"/>
      <c r="AM17" s="1"/>
      <c r="AN17" s="7"/>
      <c r="AO17" s="1"/>
      <c r="AP17" s="1"/>
      <c r="AQ17" s="1"/>
      <c r="AR17" s="1"/>
      <c r="AS17" s="1"/>
      <c r="AT17" s="1"/>
      <c r="AU17" s="1"/>
      <c r="AV17" s="1"/>
      <c r="AW17" s="1"/>
      <c r="AX17" s="7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7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7"/>
      <c r="BW17" s="1"/>
      <c r="BX17" s="1"/>
      <c r="BY17" s="1"/>
      <c r="BZ17" s="1"/>
      <c r="CA17" s="7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7"/>
      <c r="DB17" s="7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</row>
    <row r="18" spans="1:133" ht="48" customHeight="1">
      <c r="A18" s="36" t="inlineStr">
        <is>
          <t>0.S2</t>
        </is>
      </c>
      <c r="B18" s="37" t="inlineStr">
        <is>
          <t>Revisar licencias de paquetes y definir remediación o excepción</t>
        </is>
      </c>
      <c r="C18" s="38">
        <v>6</v>
      </c>
      <c r="D18" s="39" t="inlineStr">
        <is>
          <t>A 6 / D 0 / TI 0 / QA 0</t>
        </is>
      </c>
      <c r="E18" s="40">
        <v>46324</v>
      </c>
      <c r="F18" s="40">
        <v>46325</v>
      </c>
      <c r="G18" s="12" t="inlineStr">
        <is>
          <t>Pendiente</t>
        </is>
      </c>
      <c r="H18" s="37" t="inlineStr">
        <is>
          <t>Aprobación de licencias pendiente del sector responsable.</t>
        </is>
      </c>
      <c r="I18" s="39" t="inlineStr">
        <is>
          <t>Amiel Iriarte</t>
        </is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7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3" t="s">
        <v>64</v>
      </c>
      <c r="AH18" s="13" t="s">
        <v>64</v>
      </c>
      <c r="AI18" s="1"/>
      <c r="AJ18" s="1"/>
      <c r="AK18" s="1"/>
      <c r="AL18" s="1"/>
      <c r="AM18" s="1"/>
      <c r="AN18" s="7"/>
      <c r="AO18" s="1"/>
      <c r="AP18" s="1"/>
      <c r="AQ18" s="1"/>
      <c r="AR18" s="1"/>
      <c r="AS18" s="1"/>
      <c r="AT18" s="1"/>
      <c r="AU18" s="1"/>
      <c r="AV18" s="1"/>
      <c r="AW18" s="1"/>
      <c r="AX18" s="7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7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7"/>
      <c r="BW18" s="1"/>
      <c r="BX18" s="1"/>
      <c r="BY18" s="1"/>
      <c r="BZ18" s="1"/>
      <c r="CA18" s="7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7"/>
      <c r="DB18" s="7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</row>
    <row r="19" spans="1:133" ht="48" customHeight="1">
      <c r="A19" s="36" t="inlineStr">
        <is>
          <t>0.S3</t>
        </is>
      </c>
      <c r="B19" s="37" t="inlineStr">
        <is>
          <t>Actualizar o reemplazar dependencias vulnerables y ajustar código</t>
        </is>
      </c>
      <c r="C19" s="38">
        <v>16</v>
      </c>
      <c r="D19" s="39" t="inlineStr">
        <is>
          <t>A 0 / D 16 / TI 0 / QA 0</t>
        </is>
      </c>
      <c r="E19" s="40">
        <v>46325</v>
      </c>
      <c r="F19" s="40">
        <v>46330</v>
      </c>
      <c r="G19" s="12" t="inlineStr">
        <is>
          <t>Pendiente</t>
        </is>
      </c>
      <c r="H19" s="37" t="inlineStr">
        <is>
          <t>Estimación preliminar; depende de soluciones disponibles.</t>
        </is>
      </c>
      <c r="I19" s="39" t="inlineStr">
        <is>
          <t>Amiel Iriarte</t>
        </is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7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1" t="s">
        <v>44</v>
      </c>
      <c r="AI19" s="11" t="s">
        <v>44</v>
      </c>
      <c r="AJ19" s="11" t="s">
        <v>44</v>
      </c>
      <c r="AK19" s="11" t="s">
        <v>44</v>
      </c>
      <c r="AL19" s="1"/>
      <c r="AM19" s="1"/>
      <c r="AN19" s="7"/>
      <c r="AO19" s="1"/>
      <c r="AP19" s="1"/>
      <c r="AQ19" s="1"/>
      <c r="AR19" s="1"/>
      <c r="AS19" s="1"/>
      <c r="AT19" s="1"/>
      <c r="AU19" s="1"/>
      <c r="AV19" s="1"/>
      <c r="AW19" s="1"/>
      <c r="AX19" s="7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7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7"/>
      <c r="BW19" s="1"/>
      <c r="BX19" s="1"/>
      <c r="BY19" s="1"/>
      <c r="BZ19" s="1"/>
      <c r="CA19" s="7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7"/>
      <c r="DB19" s="7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</row>
    <row r="20" spans="1:133" ht="48" customHeight="1">
      <c r="A20" s="36" t="inlineStr">
        <is>
          <t>0.S4</t>
        </is>
      </c>
      <c r="B20" s="37" t="inlineStr">
        <is>
          <t>Probar internamente dependencias, portales, evidencias y correo</t>
        </is>
      </c>
      <c r="C20" s="38">
        <v>12</v>
      </c>
      <c r="D20" s="39" t="inlineStr">
        <is>
          <t>A 0 / D 0 / TI 12 / QA 0</t>
        </is>
      </c>
      <c r="E20" s="40">
        <v>46330</v>
      </c>
      <c r="F20" s="40">
        <v>46332</v>
      </c>
      <c r="G20" s="12" t="inlineStr">
        <is>
          <t>Pendiente</t>
        </is>
      </c>
      <c r="H20" s="37" t="inlineStr">
        <is>
          <t>Prueba interna de regresión en escenarios representativos.</t>
        </is>
      </c>
      <c r="I20" s="39" t="inlineStr">
        <is>
          <t>Amiel Iriarte</t>
        </is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7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1" t="s">
        <v>38</v>
      </c>
      <c r="AL20" s="11" t="s">
        <v>38</v>
      </c>
      <c r="AM20" s="11" t="s">
        <v>38</v>
      </c>
      <c r="AN20" s="7"/>
      <c r="AO20" s="1"/>
      <c r="AP20" s="1"/>
      <c r="AQ20" s="1"/>
      <c r="AR20" s="1"/>
      <c r="AS20" s="1"/>
      <c r="AT20" s="1"/>
      <c r="AU20" s="1"/>
      <c r="AV20" s="1"/>
      <c r="AW20" s="1"/>
      <c r="AX20" s="7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7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7"/>
      <c r="BW20" s="1"/>
      <c r="BX20" s="1"/>
      <c r="BY20" s="1"/>
      <c r="BZ20" s="1"/>
      <c r="CA20" s="7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7"/>
      <c r="DB20" s="7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</row>
    <row r="21" spans="1:133" ht="48" customHeight="1">
      <c r="A21" s="36" t="inlineStr">
        <is>
          <t>0.S5</t>
        </is>
      </c>
      <c r="B21" s="37" t="inlineStr">
        <is>
          <t>QA de regresión de consultas, evidencias y correos</t>
        </is>
      </c>
      <c r="C21" s="38">
        <v>16</v>
      </c>
      <c r="D21" s="39" t="inlineStr">
        <is>
          <t>A 0 / D 0 / TI 0 / QA 16</t>
        </is>
      </c>
      <c r="E21" s="40">
        <v>46336</v>
      </c>
      <c r="F21" s="40">
        <v>46337</v>
      </c>
      <c r="G21" s="12" t="inlineStr">
        <is>
          <t>Pendiente</t>
        </is>
      </c>
      <c r="H21" s="37" t="inlineStr">
        <is>
          <t>Inicia después del test interno 0.S4.</t>
        </is>
      </c>
      <c r="I21" s="39" t="inlineStr">
        <is>
          <t>Sector QA</t>
        </is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7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7"/>
      <c r="AO21" s="10" t="s">
        <v>34</v>
      </c>
      <c r="AP21" s="10" t="s">
        <v>34</v>
      </c>
      <c r="AQ21" s="1"/>
      <c r="AR21" s="1"/>
      <c r="AS21" s="1"/>
      <c r="AT21" s="1"/>
      <c r="AU21" s="1"/>
      <c r="AV21" s="1"/>
      <c r="AW21" s="1"/>
      <c r="AX21" s="7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7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7"/>
      <c r="BW21" s="1"/>
      <c r="BX21" s="1"/>
      <c r="BY21" s="1"/>
      <c r="BZ21" s="1"/>
      <c r="CA21" s="7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7"/>
      <c r="DB21" s="7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</row>
    <row r="22" spans="1:133" ht="48" customHeight="1">
      <c r="A22" s="36" t="inlineStr">
        <is>
          <t>0.S6</t>
        </is>
      </c>
      <c r="B22" s="37" t="inlineStr">
        <is>
          <t>Reejecutar Snyk y documentar hallazgos remanentes</t>
        </is>
      </c>
      <c r="C22" s="38">
        <v>4</v>
      </c>
      <c r="D22" s="39" t="inlineStr">
        <is>
          <t>A 0 / D 0 / TI 4 / QA 0</t>
        </is>
      </c>
      <c r="E22" s="40">
        <v>46332</v>
      </c>
      <c r="F22" s="40">
        <v>46332</v>
      </c>
      <c r="G22" s="12" t="inlineStr">
        <is>
          <t>Pendiente</t>
        </is>
      </c>
      <c r="H22" s="37" t="inlineStr">
        <is>
          <t>Comparar resultados antes/después y adjuntar evidencia.</t>
        </is>
      </c>
      <c r="I22" s="39" t="inlineStr">
        <is>
          <t>Amiel Iriarte</t>
        </is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7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1" t="s">
        <v>38</v>
      </c>
      <c r="AN22" s="7"/>
      <c r="AO22" s="1"/>
      <c r="AP22" s="1"/>
      <c r="AQ22" s="1"/>
      <c r="AR22" s="1"/>
      <c r="AS22" s="1"/>
      <c r="AT22" s="1"/>
      <c r="AU22" s="1"/>
      <c r="AV22" s="1"/>
      <c r="AW22" s="1"/>
      <c r="AX22" s="7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7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7"/>
      <c r="BW22" s="1"/>
      <c r="BX22" s="1"/>
      <c r="BY22" s="1"/>
      <c r="BZ22" s="1"/>
      <c r="CA22" s="7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7"/>
      <c r="DB22" s="7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</row>
    <row r="23" spans="1:133" ht="48" customHeight="1">
      <c r="A23" s="36" t="inlineStr">
        <is>
          <t>0.S7</t>
        </is>
      </c>
      <c r="B23" s="37" t="inlineStr">
        <is>
          <t>Aprobación de licencias y excepciones antes de Producción</t>
        </is>
      </c>
      <c r="C23" s="38">
        <v>0</v>
      </c>
      <c r="D23" s="39" t="inlineStr">
        <is>
          <t>Hito externo, 0 h</t>
        </is>
      </c>
      <c r="E23" s="40">
        <v>46337</v>
      </c>
      <c r="F23" s="40">
        <v>46337</v>
      </c>
      <c r="G23" s="12" t="inlineStr">
        <is>
          <t>Pendiente</t>
        </is>
      </c>
      <c r="H23" s="37" t="inlineStr">
        <is>
          <t>Hito externo. Fecha real pendiente; bloquea 0.D y 0.P.</t>
        </is>
      </c>
      <c r="I23" s="39" t="inlineStr">
        <is>
          <t>Alan Blin / Seguridad</t>
        </is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7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7"/>
      <c r="AO23" s="1"/>
      <c r="AP23" s="1"/>
      <c r="AQ23" s="1"/>
      <c r="AR23" s="1"/>
      <c r="AS23" s="1"/>
      <c r="AT23" s="1"/>
      <c r="AU23" s="1"/>
      <c r="AV23" s="1"/>
      <c r="AW23" s="1"/>
      <c r="AX23" s="7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7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7"/>
      <c r="BW23" s="1"/>
      <c r="BX23" s="1"/>
      <c r="BY23" s="1"/>
      <c r="BZ23" s="1"/>
      <c r="CA23" s="7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7"/>
      <c r="DB23" s="7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</row>
    <row r="24" spans="1:133" ht="36" customHeight="1">
      <c r="A24" s="36" t="s">
        <v>51</v>
      </c>
      <c r="B24" s="37" t="s">
        <v>52</v>
      </c>
      <c r="C24" s="38">
        <v>0</v>
      </c>
      <c r="D24" s="39" t="s">
        <v>53</v>
      </c>
      <c r="E24" s="40">
        <v>46337</v>
      </c>
      <c r="F24" s="40">
        <v>46337</v>
      </c>
      <c r="G24" s="38" t="s">
        <v>48</v>
      </c>
      <c r="H24" s="37" t="s">
        <v>54</v>
      </c>
      <c r="I24" s="39" t="s">
        <v>33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7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7"/>
      <c r="AO24" s="1"/>
      <c r="AP24" s="1"/>
      <c r="AQ24" s="1"/>
      <c r="AR24" s="1"/>
      <c r="AS24" s="1"/>
      <c r="AT24" s="1"/>
      <c r="AU24" s="1"/>
      <c r="AV24" s="1"/>
      <c r="AW24" s="1"/>
      <c r="AX24" s="7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7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7"/>
      <c r="BW24" s="1"/>
      <c r="BX24" s="1"/>
      <c r="BY24" s="1"/>
      <c r="BZ24" s="1"/>
      <c r="CA24" s="7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</row>
    <row r="25" spans="1:133" ht="36" customHeight="1">
      <c r="A25" s="36" t="s">
        <v>55</v>
      </c>
      <c r="B25" s="37" t="s">
        <v>56</v>
      </c>
      <c r="C25" s="38">
        <v>16</v>
      </c>
      <c r="D25" s="39" t="s">
        <v>57</v>
      </c>
      <c r="E25" s="40">
        <v>46338</v>
      </c>
      <c r="F25" s="40">
        <v>46339</v>
      </c>
      <c r="G25" s="38" t="s">
        <v>48</v>
      </c>
      <c r="H25" s="37" t="s">
        <v>58</v>
      </c>
      <c r="I25" s="39" t="s">
        <v>33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7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7"/>
      <c r="AO25" s="1"/>
      <c r="AP25" s="1"/>
      <c r="AQ25" s="14" t="s">
        <v>59</v>
      </c>
      <c r="AR25" s="14" t="s">
        <v>59</v>
      </c>
      <c r="AS25" s="1"/>
      <c r="AT25" s="1"/>
      <c r="AU25" s="1"/>
      <c r="AV25" s="1"/>
      <c r="AW25" s="1"/>
      <c r="AX25" s="7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7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7"/>
      <c r="BW25" s="1"/>
      <c r="BX25" s="1"/>
      <c r="BY25" s="1"/>
      <c r="BZ25" s="1"/>
      <c r="CA25" s="7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7"/>
      <c r="DB25" s="7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</row>
    <row r="26" spans="1:133" ht="26.15" customHeight="1">
      <c r="A26" s="33" t="s">
        <v>60</v>
      </c>
      <c r="B26" s="34"/>
      <c r="C26" s="56">
        <f>SUM(C12:C25)</f>
        <v>152</v>
      </c>
      <c r="D26" s="34"/>
      <c r="E26" s="33"/>
      <c r="F26" s="43">
        <v>46339</v>
      </c>
      <c r="G26" s="33"/>
      <c r="H26" s="34"/>
      <c r="I26" s="20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7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7"/>
      <c r="AO26" s="35"/>
      <c r="AP26" s="35"/>
      <c r="AQ26" s="35"/>
      <c r="AR26" s="35"/>
      <c r="AS26" s="35"/>
      <c r="AT26" s="35"/>
      <c r="AU26" s="35"/>
      <c r="AV26" s="35"/>
      <c r="AW26" s="35"/>
      <c r="AX26" s="7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7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7"/>
      <c r="BW26" s="35"/>
      <c r="BX26" s="35"/>
      <c r="BY26" s="35"/>
      <c r="BZ26" s="35"/>
      <c r="CA26" s="7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</row>
    <row r="27" spans="1:133" ht="25" customHeight="1">
      <c r="A27" s="51" t="s">
        <v>61</v>
      </c>
      <c r="B27" s="52"/>
      <c r="C27" s="51"/>
      <c r="D27" s="51"/>
      <c r="E27" s="51"/>
      <c r="F27" s="51"/>
      <c r="G27" s="51"/>
      <c r="H27" s="52"/>
      <c r="I27" s="20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7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7"/>
      <c r="AO27" s="35"/>
      <c r="AP27" s="35"/>
      <c r="AQ27" s="35"/>
      <c r="AR27" s="35"/>
      <c r="AS27" s="35"/>
      <c r="AT27" s="35"/>
      <c r="AU27" s="35"/>
      <c r="AV27" s="35"/>
      <c r="AW27" s="35"/>
      <c r="AX27" s="7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7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7"/>
      <c r="BW27" s="35"/>
      <c r="BX27" s="35"/>
      <c r="BY27" s="35"/>
      <c r="BZ27" s="35"/>
      <c r="CA27" s="7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</row>
    <row r="28" spans="1:133" ht="36" customHeight="1">
      <c r="A28" s="36" t="s">
        <v>62</v>
      </c>
      <c r="B28" s="37" t="s">
        <v>63</v>
      </c>
      <c r="C28" s="38">
        <v>22</v>
      </c>
      <c r="D28" s="39" t="s">
        <v>196</v>
      </c>
      <c r="E28" s="40">
        <v>46342</v>
      </c>
      <c r="F28" s="40">
        <v>46344</v>
      </c>
      <c r="G28" s="38" t="s">
        <v>48</v>
      </c>
      <c r="H28" s="37"/>
      <c r="I28" s="39" t="s">
        <v>33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7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7"/>
      <c r="AO28" s="1"/>
      <c r="AP28" s="1"/>
      <c r="AQ28" s="1"/>
      <c r="AR28" s="1"/>
      <c r="AS28" s="13" t="s">
        <v>64</v>
      </c>
      <c r="AT28" s="10" t="s">
        <v>34</v>
      </c>
      <c r="AU28" s="10" t="s">
        <v>34</v>
      </c>
      <c r="AV28" s="1"/>
      <c r="AW28" s="1"/>
      <c r="AX28" s="7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7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7"/>
      <c r="BW28" s="1"/>
      <c r="BX28" s="1"/>
      <c r="BY28" s="1"/>
      <c r="BZ28" s="1"/>
      <c r="CA28" s="7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7"/>
      <c r="DB28" s="7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</row>
    <row r="29" spans="1:133" ht="48" customHeight="1">
      <c r="A29" s="36" t="s">
        <v>65</v>
      </c>
      <c r="B29" s="37" t="s">
        <v>66</v>
      </c>
      <c r="C29" s="41"/>
      <c r="D29" s="42" t="s">
        <v>7</v>
      </c>
      <c r="E29" s="40"/>
      <c r="F29" s="40"/>
      <c r="G29" s="38" t="s">
        <v>48</v>
      </c>
      <c r="H29" s="37" t="s">
        <v>67</v>
      </c>
      <c r="I29" t="s">
        <v>68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7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7"/>
      <c r="AO29" s="1"/>
      <c r="AP29" s="1"/>
      <c r="AQ29" s="1"/>
      <c r="AR29" s="1"/>
      <c r="AS29" s="1"/>
      <c r="AT29" s="1"/>
      <c r="AU29" s="1"/>
      <c r="AV29" s="1"/>
      <c r="AW29" s="1"/>
      <c r="AX29" s="7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7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7"/>
      <c r="BW29" s="1"/>
      <c r="BX29" s="1"/>
      <c r="BY29" s="1"/>
      <c r="BZ29" s="1"/>
      <c r="CA29" s="7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</row>
    <row r="30" spans="1:133" ht="48" customHeight="1">
      <c r="A30" s="36" t="s">
        <v>69</v>
      </c>
      <c r="B30" s="37" t="s">
        <v>70</v>
      </c>
      <c r="C30" s="38">
        <v>52</v>
      </c>
      <c r="D30" s="39" t="s">
        <v>195</v>
      </c>
      <c r="E30" s="40">
        <v>46343</v>
      </c>
      <c r="F30" s="40">
        <v>46353</v>
      </c>
      <c r="G30" s="15" t="s">
        <v>72</v>
      </c>
      <c r="H30" s="37" t="s">
        <v>73</v>
      </c>
      <c r="I30" s="39" t="s">
        <v>33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7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7"/>
      <c r="AO30" s="1"/>
      <c r="AP30" s="1"/>
      <c r="AQ30" s="1"/>
      <c r="AR30" s="1"/>
      <c r="AS30" s="1"/>
      <c r="AT30" s="13" t="s">
        <v>64</v>
      </c>
      <c r="AU30" s="11" t="s">
        <v>44</v>
      </c>
      <c r="AV30" s="11" t="s">
        <v>44</v>
      </c>
      <c r="AW30" s="11" t="s">
        <v>44</v>
      </c>
      <c r="AX30" s="7"/>
      <c r="AY30" s="11" t="s">
        <v>38</v>
      </c>
      <c r="AZ30" s="11" t="s">
        <v>38</v>
      </c>
      <c r="BA30" s="10" t="s">
        <v>34</v>
      </c>
      <c r="BB30" s="10" t="s">
        <v>34</v>
      </c>
      <c r="BC30" s="1"/>
      <c r="BD30" s="1"/>
      <c r="BE30" s="1"/>
      <c r="BF30" s="1"/>
      <c r="BG30" s="1"/>
      <c r="BH30" s="1"/>
      <c r="BI30" s="7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7"/>
      <c r="BW30" s="1"/>
      <c r="BX30" s="1"/>
      <c r="BY30" s="1"/>
      <c r="BZ30" s="1"/>
      <c r="CA30" s="7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7"/>
      <c r="DB30" s="7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</row>
    <row r="31" spans="1:133" ht="36" customHeight="1">
      <c r="A31" s="36" t="s">
        <v>74</v>
      </c>
      <c r="B31" s="37" t="s">
        <v>75</v>
      </c>
      <c r="C31" s="38">
        <v>72</v>
      </c>
      <c r="D31" s="39" t="s">
        <v>197</v>
      </c>
      <c r="E31" s="40">
        <v>46352</v>
      </c>
      <c r="F31" s="40">
        <v>46367</v>
      </c>
      <c r="G31" s="38" t="s">
        <v>48</v>
      </c>
      <c r="H31" s="37"/>
      <c r="I31" s="39" t="s">
        <v>33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7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7"/>
      <c r="AO31" s="1"/>
      <c r="AP31" s="1"/>
      <c r="AQ31" s="1"/>
      <c r="AR31" s="1"/>
      <c r="AS31" s="1"/>
      <c r="AT31" s="1"/>
      <c r="AU31" s="1"/>
      <c r="AV31" s="1"/>
      <c r="AW31" s="1"/>
      <c r="AX31" s="7"/>
      <c r="AY31" s="1"/>
      <c r="AZ31" s="1"/>
      <c r="BA31" s="13" t="s">
        <v>64</v>
      </c>
      <c r="BB31" s="11" t="s">
        <v>44</v>
      </c>
      <c r="BC31" s="11" t="s">
        <v>44</v>
      </c>
      <c r="BD31" s="11" t="s">
        <v>44</v>
      </c>
      <c r="BE31" s="11" t="s">
        <v>44</v>
      </c>
      <c r="BF31" s="11" t="s">
        <v>44</v>
      </c>
      <c r="BG31" s="11" t="s">
        <v>38</v>
      </c>
      <c r="BH31" s="11" t="s">
        <v>38</v>
      </c>
      <c r="BI31" s="7"/>
      <c r="BJ31" s="10" t="s">
        <v>34</v>
      </c>
      <c r="BK31" s="10" t="s">
        <v>34</v>
      </c>
      <c r="BL31" s="10" t="s">
        <v>34</v>
      </c>
      <c r="BM31" s="1"/>
      <c r="BN31" s="1"/>
      <c r="BO31" s="1"/>
      <c r="BP31" s="1"/>
      <c r="BQ31" s="1"/>
      <c r="BR31" s="1"/>
      <c r="BS31" s="1"/>
      <c r="BT31" s="1"/>
      <c r="BU31" s="1"/>
      <c r="BV31" s="7"/>
      <c r="BW31" s="1"/>
      <c r="BX31" s="1"/>
      <c r="BY31" s="1"/>
      <c r="BZ31" s="1"/>
      <c r="CA31" s="7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7"/>
      <c r="DB31" s="7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</row>
    <row r="32" spans="1:133" ht="36" customHeight="1">
      <c r="A32" s="36" t="s">
        <v>76</v>
      </c>
      <c r="B32" s="37" t="s">
        <v>77</v>
      </c>
      <c r="C32" s="38">
        <v>42</v>
      </c>
      <c r="D32" s="39" t="s">
        <v>198</v>
      </c>
      <c r="E32" s="40">
        <v>46365</v>
      </c>
      <c r="F32" s="40">
        <v>46374</v>
      </c>
      <c r="G32" s="38" t="s">
        <v>48</v>
      </c>
      <c r="H32" s="37"/>
      <c r="I32" s="39" t="s">
        <v>33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7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7"/>
      <c r="AO32" s="1"/>
      <c r="AP32" s="1"/>
      <c r="AQ32" s="1"/>
      <c r="AR32" s="1"/>
      <c r="AS32" s="1"/>
      <c r="AT32" s="1"/>
      <c r="AU32" s="1"/>
      <c r="AV32" s="1"/>
      <c r="AW32" s="1"/>
      <c r="AX32" s="7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7"/>
      <c r="BJ32" s="13" t="s">
        <v>64</v>
      </c>
      <c r="BK32" s="11" t="s">
        <v>44</v>
      </c>
      <c r="BL32" s="11" t="s">
        <v>38</v>
      </c>
      <c r="BM32" s="1"/>
      <c r="BN32" s="1"/>
      <c r="BO32" s="10" t="s">
        <v>34</v>
      </c>
      <c r="BP32" s="10" t="s">
        <v>34</v>
      </c>
      <c r="BQ32" s="10" t="s">
        <v>34</v>
      </c>
      <c r="BR32" s="1"/>
      <c r="BS32" s="1"/>
      <c r="BT32" s="1"/>
      <c r="BU32" s="1"/>
      <c r="BV32" s="7"/>
      <c r="BW32" s="1"/>
      <c r="BX32" s="1"/>
      <c r="BY32" s="1"/>
      <c r="BZ32" s="1"/>
      <c r="CA32" s="7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7"/>
      <c r="DB32" s="7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</row>
    <row r="33" spans="1:133" ht="36" customHeight="1">
      <c r="A33" s="36" t="s">
        <v>78</v>
      </c>
      <c r="B33" s="37" t="s">
        <v>79</v>
      </c>
      <c r="C33" s="38">
        <v>52</v>
      </c>
      <c r="D33" s="39" t="s">
        <v>199</v>
      </c>
      <c r="E33" s="40">
        <v>46370</v>
      </c>
      <c r="F33" s="40">
        <v>46380</v>
      </c>
      <c r="G33" s="38" t="s">
        <v>48</v>
      </c>
      <c r="H33" s="37"/>
      <c r="I33" s="39" t="s">
        <v>33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7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7"/>
      <c r="AO33" s="1"/>
      <c r="AP33" s="1"/>
      <c r="AQ33" s="1"/>
      <c r="AR33" s="1"/>
      <c r="AS33" s="1"/>
      <c r="AT33" s="1"/>
      <c r="AU33" s="1"/>
      <c r="AV33" s="1"/>
      <c r="AW33" s="1"/>
      <c r="AX33" s="7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7"/>
      <c r="BJ33" s="1"/>
      <c r="BK33" s="1"/>
      <c r="BL33" s="1"/>
      <c r="BM33" s="13" t="s">
        <v>64</v>
      </c>
      <c r="BN33" s="11" t="s">
        <v>44</v>
      </c>
      <c r="BO33" s="11" t="s">
        <v>44</v>
      </c>
      <c r="BP33" s="11" t="s">
        <v>38</v>
      </c>
      <c r="BQ33" s="11" t="s">
        <v>38</v>
      </c>
      <c r="BR33" s="11" t="s">
        <v>38</v>
      </c>
      <c r="BS33" s="1"/>
      <c r="BT33" s="10" t="s">
        <v>34</v>
      </c>
      <c r="BU33" s="10" t="s">
        <v>34</v>
      </c>
      <c r="BV33" s="7"/>
      <c r="BW33" s="1"/>
      <c r="BX33" s="1"/>
      <c r="BY33" s="1"/>
      <c r="BZ33" s="1"/>
      <c r="CA33" s="7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7"/>
      <c r="DB33" s="7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</row>
    <row r="34" spans="1:133" ht="36" customHeight="1">
      <c r="A34" s="36" t="s">
        <v>80</v>
      </c>
      <c r="B34" s="37" t="s">
        <v>81</v>
      </c>
      <c r="C34" s="38">
        <v>46</v>
      </c>
      <c r="D34" s="39" t="s">
        <v>200</v>
      </c>
      <c r="E34" s="40">
        <v>46378</v>
      </c>
      <c r="F34" s="40">
        <v>46387</v>
      </c>
      <c r="G34" s="15" t="s">
        <v>72</v>
      </c>
      <c r="H34" s="37" t="s">
        <v>82</v>
      </c>
      <c r="I34" s="39" t="s">
        <v>33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7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7"/>
      <c r="AO34" s="1"/>
      <c r="AP34" s="1"/>
      <c r="AQ34" s="1"/>
      <c r="AR34" s="1"/>
      <c r="AS34" s="1"/>
      <c r="AT34" s="1"/>
      <c r="AU34" s="1"/>
      <c r="AV34" s="1"/>
      <c r="AW34" s="1"/>
      <c r="AX34" s="7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7"/>
      <c r="BJ34" s="1"/>
      <c r="BK34" s="1"/>
      <c r="BL34" s="1"/>
      <c r="BM34" s="1"/>
      <c r="BN34" s="1"/>
      <c r="BO34" s="1"/>
      <c r="BP34" s="1"/>
      <c r="BQ34" s="1"/>
      <c r="BR34" s="1"/>
      <c r="BS34" s="13" t="s">
        <v>64</v>
      </c>
      <c r="BT34" s="11" t="s">
        <v>44</v>
      </c>
      <c r="BU34" s="11" t="s">
        <v>44</v>
      </c>
      <c r="BV34" s="7"/>
      <c r="BW34" s="11" t="s">
        <v>44</v>
      </c>
      <c r="BX34" s="11" t="s">
        <v>38</v>
      </c>
      <c r="BY34" s="10" t="s">
        <v>34</v>
      </c>
      <c r="BZ34" s="10" t="s">
        <v>34</v>
      </c>
      <c r="CA34" s="7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7"/>
      <c r="DB34" s="7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</row>
    <row r="35" spans="1:133" ht="36" customHeight="1">
      <c r="A35" s="36" t="s">
        <v>83</v>
      </c>
      <c r="B35" s="37" t="s">
        <v>84</v>
      </c>
      <c r="C35" s="38">
        <v>52</v>
      </c>
      <c r="D35" s="39" t="s">
        <v>201</v>
      </c>
      <c r="E35" s="40">
        <v>46386</v>
      </c>
      <c r="F35" s="40">
        <v>46398</v>
      </c>
      <c r="G35" s="38" t="s">
        <v>48</v>
      </c>
      <c r="H35" s="37"/>
      <c r="I35" s="39" t="s">
        <v>33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7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7"/>
      <c r="AO35" s="1"/>
      <c r="AP35" s="1"/>
      <c r="AQ35" s="1"/>
      <c r="AR35" s="1"/>
      <c r="AS35" s="1"/>
      <c r="AT35" s="1"/>
      <c r="AU35" s="1"/>
      <c r="AV35" s="1"/>
      <c r="AW35" s="1"/>
      <c r="AX35" s="7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7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7"/>
      <c r="BW35" s="1"/>
      <c r="BX35" s="1"/>
      <c r="BY35" s="13" t="s">
        <v>64</v>
      </c>
      <c r="BZ35" s="13" t="s">
        <v>64</v>
      </c>
      <c r="CA35" s="7"/>
      <c r="CB35" s="11" t="s">
        <v>44</v>
      </c>
      <c r="CC35" s="11" t="s">
        <v>44</v>
      </c>
      <c r="CD35" s="11" t="s">
        <v>38</v>
      </c>
      <c r="CE35" s="11" t="s">
        <v>38</v>
      </c>
      <c r="CF35" s="10" t="s">
        <v>34</v>
      </c>
      <c r="CG35" s="10" t="s">
        <v>34</v>
      </c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7"/>
      <c r="DB35" s="7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</row>
    <row r="36" spans="1:133" ht="36" customHeight="1">
      <c r="A36" s="36" t="s">
        <v>85</v>
      </c>
      <c r="B36" s="37" t="s">
        <v>86</v>
      </c>
      <c r="C36" s="38">
        <v>82</v>
      </c>
      <c r="D36" s="39" t="s">
        <v>202</v>
      </c>
      <c r="E36" s="40">
        <v>46395</v>
      </c>
      <c r="F36" s="40">
        <v>46412</v>
      </c>
      <c r="G36" s="38" t="s">
        <v>48</v>
      </c>
      <c r="H36" s="37"/>
      <c r="I36" s="39" t="s">
        <v>33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7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7"/>
      <c r="AO36" s="1"/>
      <c r="AP36" s="1"/>
      <c r="AQ36" s="1"/>
      <c r="AR36" s="1"/>
      <c r="AS36" s="1"/>
      <c r="AT36" s="1"/>
      <c r="AU36" s="1"/>
      <c r="AV36" s="1"/>
      <c r="AW36" s="1"/>
      <c r="AX36" s="7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7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7"/>
      <c r="BW36" s="1"/>
      <c r="BX36" s="1"/>
      <c r="BY36" s="1"/>
      <c r="BZ36" s="1"/>
      <c r="CA36" s="7"/>
      <c r="CB36" s="1"/>
      <c r="CC36" s="1"/>
      <c r="CD36" s="1"/>
      <c r="CE36" s="1"/>
      <c r="CF36" s="13" t="s">
        <v>64</v>
      </c>
      <c r="CG36" s="11" t="s">
        <v>44</v>
      </c>
      <c r="CH36" s="11" t="s">
        <v>44</v>
      </c>
      <c r="CI36" s="11" t="s">
        <v>38</v>
      </c>
      <c r="CJ36" s="11" t="s">
        <v>38</v>
      </c>
      <c r="CK36" s="11" t="s">
        <v>38</v>
      </c>
      <c r="CL36" s="11" t="s">
        <v>38</v>
      </c>
      <c r="CM36" s="10" t="s">
        <v>34</v>
      </c>
      <c r="CN36" s="10" t="s">
        <v>34</v>
      </c>
      <c r="CO36" s="10" t="s">
        <v>34</v>
      </c>
      <c r="CP36" s="10" t="s">
        <v>34</v>
      </c>
      <c r="CQ36" s="10" t="s">
        <v>34</v>
      </c>
      <c r="CR36" s="1"/>
      <c r="CS36" s="1"/>
      <c r="CT36" s="1"/>
      <c r="CU36" s="1"/>
      <c r="CV36" s="1"/>
      <c r="CW36" s="1"/>
      <c r="CX36" s="1"/>
      <c r="CY36" s="1"/>
      <c r="CZ36" s="1"/>
      <c r="DA36" s="7"/>
      <c r="DB36" s="7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</row>
    <row r="37" spans="1:133" ht="48" customHeight="1">
      <c r="A37" s="36" t="s">
        <v>87</v>
      </c>
      <c r="B37" s="37" t="s">
        <v>88</v>
      </c>
      <c r="C37" s="38">
        <v>132</v>
      </c>
      <c r="D37" s="39" t="s">
        <v>203</v>
      </c>
      <c r="E37" s="40">
        <v>46406</v>
      </c>
      <c r="F37" s="40">
        <v>46434</v>
      </c>
      <c r="G37" s="38" t="s">
        <v>48</v>
      </c>
      <c r="H37" s="37"/>
      <c r="I37" s="39" t="s">
        <v>33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7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7"/>
      <c r="AO37" s="1"/>
      <c r="AP37" s="1"/>
      <c r="AQ37" s="1"/>
      <c r="AR37" s="1"/>
      <c r="AS37" s="1"/>
      <c r="AT37" s="1"/>
      <c r="AU37" s="1"/>
      <c r="AV37" s="1"/>
      <c r="AW37" s="1"/>
      <c r="AX37" s="7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7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7"/>
      <c r="BW37" s="1"/>
      <c r="BX37" s="1"/>
      <c r="BY37" s="1"/>
      <c r="BZ37" s="1"/>
      <c r="CA37" s="7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1" t="s">
        <v>44</v>
      </c>
      <c r="CN37" s="11" t="s">
        <v>44</v>
      </c>
      <c r="CO37" s="11" t="s">
        <v>44</v>
      </c>
      <c r="CP37" s="11" t="s">
        <v>44</v>
      </c>
      <c r="CQ37" s="11" t="s">
        <v>44</v>
      </c>
      <c r="CR37" s="11" t="s">
        <v>44</v>
      </c>
      <c r="CS37" s="11" t="s">
        <v>38</v>
      </c>
      <c r="CT37" s="11" t="s">
        <v>38</v>
      </c>
      <c r="CU37" s="11" t="s">
        <v>38</v>
      </c>
      <c r="CV37" s="11" t="s">
        <v>38</v>
      </c>
      <c r="CW37" s="10" t="s">
        <v>34</v>
      </c>
      <c r="CX37" s="10" t="s">
        <v>34</v>
      </c>
      <c r="CY37" s="10" t="s">
        <v>34</v>
      </c>
      <c r="CZ37" s="10" t="s">
        <v>34</v>
      </c>
      <c r="DA37" s="7"/>
      <c r="DB37" s="7"/>
      <c r="DC37" s="10" t="s">
        <v>34</v>
      </c>
      <c r="DD37" s="10" t="s">
        <v>34</v>
      </c>
      <c r="DE37" s="10" t="s">
        <v>34</v>
      </c>
      <c r="DF37" s="10" t="s">
        <v>34</v>
      </c>
      <c r="DG37" s="10" t="s">
        <v>34</v>
      </c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</row>
    <row r="38" spans="1:133" ht="36" customHeight="1">
      <c r="A38" s="36" t="s">
        <v>89</v>
      </c>
      <c r="B38" s="37" t="s">
        <v>90</v>
      </c>
      <c r="C38" s="41"/>
      <c r="D38" s="42" t="s">
        <v>7</v>
      </c>
      <c r="E38" s="40"/>
      <c r="F38" s="40"/>
      <c r="G38" s="38" t="s">
        <v>48</v>
      </c>
      <c r="H38" s="37" t="s">
        <v>91</v>
      </c>
      <c r="I38" t="s">
        <v>68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7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7"/>
      <c r="AO38" s="1"/>
      <c r="AP38" s="1"/>
      <c r="AQ38" s="1"/>
      <c r="AR38" s="1"/>
      <c r="AS38" s="1"/>
      <c r="AT38" s="1"/>
      <c r="AU38" s="1"/>
      <c r="AV38" s="1"/>
      <c r="AW38" s="1"/>
      <c r="AX38" s="7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7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7"/>
      <c r="BW38" s="1"/>
      <c r="BX38" s="1"/>
      <c r="BY38" s="1"/>
      <c r="BZ38" s="1"/>
      <c r="CA38" s="7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</row>
    <row r="39" spans="1:133" ht="36" customHeight="1">
      <c r="A39" s="36" t="s">
        <v>92</v>
      </c>
      <c r="B39" s="37" t="s">
        <v>93</v>
      </c>
      <c r="C39" s="38">
        <v>98</v>
      </c>
      <c r="D39" s="39" t="s">
        <v>204</v>
      </c>
      <c r="E39" s="40">
        <v>46420</v>
      </c>
      <c r="F39" s="40">
        <v>46443</v>
      </c>
      <c r="G39" s="38"/>
      <c r="H39" s="37"/>
      <c r="I39" s="39" t="s">
        <v>33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7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7"/>
      <c r="AO39" s="1"/>
      <c r="AP39" s="1"/>
      <c r="AQ39" s="1"/>
      <c r="AR39" s="1"/>
      <c r="AS39" s="1"/>
      <c r="AT39" s="1"/>
      <c r="AU39" s="1"/>
      <c r="AV39" s="1"/>
      <c r="AW39" s="1"/>
      <c r="AX39" s="7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7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7"/>
      <c r="BW39" s="1"/>
      <c r="BX39" s="1"/>
      <c r="BY39" s="1"/>
      <c r="BZ39" s="1"/>
      <c r="CA39" s="7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3" t="s">
        <v>64</v>
      </c>
      <c r="CX39" s="13" t="s">
        <v>64</v>
      </c>
      <c r="CY39" s="11" t="s">
        <v>44</v>
      </c>
      <c r="CZ39" s="11" t="s">
        <v>44</v>
      </c>
      <c r="DA39" s="7"/>
      <c r="DB39" s="7"/>
      <c r="DC39" s="11" t="s">
        <v>44</v>
      </c>
      <c r="DD39" s="11" t="s">
        <v>38</v>
      </c>
      <c r="DE39" s="11" t="s">
        <v>38</v>
      </c>
      <c r="DF39" s="1"/>
      <c r="DG39" s="1"/>
      <c r="DH39" s="10" t="s">
        <v>34</v>
      </c>
      <c r="DI39" s="10" t="s">
        <v>34</v>
      </c>
      <c r="DJ39" s="10" t="s">
        <v>34</v>
      </c>
      <c r="DK39" s="10" t="s">
        <v>34</v>
      </c>
      <c r="DL39" s="10" t="s">
        <v>34</v>
      </c>
      <c r="DM39" s="10" t="s">
        <v>34</v>
      </c>
      <c r="DN39" s="10" t="s">
        <v>34</v>
      </c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</row>
    <row r="40" spans="1:133" ht="36" customHeight="1">
      <c r="A40" s="36" t="s">
        <v>94</v>
      </c>
      <c r="B40" s="37" t="s">
        <v>95</v>
      </c>
      <c r="C40" s="38">
        <v>12</v>
      </c>
      <c r="D40" s="39" t="s">
        <v>182</v>
      </c>
      <c r="E40" s="40">
        <v>46433</v>
      </c>
      <c r="F40" s="40">
        <v>46434</v>
      </c>
      <c r="G40" s="38" t="s">
        <v>48</v>
      </c>
      <c r="H40" s="37" t="s">
        <v>96</v>
      </c>
      <c r="I40" s="39" t="s">
        <v>33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7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7"/>
      <c r="AO40" s="1"/>
      <c r="AP40" s="1"/>
      <c r="AQ40" s="1"/>
      <c r="AR40" s="1"/>
      <c r="AS40" s="1"/>
      <c r="AT40" s="1"/>
      <c r="AU40" s="1"/>
      <c r="AV40" s="1"/>
      <c r="AW40" s="1"/>
      <c r="AX40" s="7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7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7"/>
      <c r="BW40" s="1"/>
      <c r="BX40" s="1"/>
      <c r="BY40" s="1"/>
      <c r="BZ40" s="1"/>
      <c r="CA40" s="7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7"/>
      <c r="DB40" s="7"/>
      <c r="DC40" s="1"/>
      <c r="DD40" s="1"/>
      <c r="DE40" s="1"/>
      <c r="DF40" s="13" t="s">
        <v>64</v>
      </c>
      <c r="DG40" s="13" t="s">
        <v>64</v>
      </c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</row>
    <row r="41" spans="1:133" ht="36" customHeight="1">
      <c r="A41" s="36" t="s">
        <v>97</v>
      </c>
      <c r="B41" s="37" t="s">
        <v>52</v>
      </c>
      <c r="C41" s="38">
        <v>0</v>
      </c>
      <c r="D41" s="39" t="s">
        <v>53</v>
      </c>
      <c r="E41" s="40">
        <v>46443</v>
      </c>
      <c r="F41" s="40">
        <v>46443</v>
      </c>
      <c r="G41" s="38" t="s">
        <v>48</v>
      </c>
      <c r="H41" s="37" t="s">
        <v>54</v>
      </c>
      <c r="I41" s="39" t="s">
        <v>33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7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7"/>
      <c r="AO41" s="1"/>
      <c r="AP41" s="1"/>
      <c r="AQ41" s="1"/>
      <c r="AR41" s="1"/>
      <c r="AS41" s="1"/>
      <c r="AT41" s="1"/>
      <c r="AU41" s="1"/>
      <c r="AV41" s="1"/>
      <c r="AW41" s="1"/>
      <c r="AX41" s="7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7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7"/>
      <c r="BW41" s="1"/>
      <c r="BX41" s="1"/>
      <c r="BY41" s="1"/>
      <c r="BZ41" s="1"/>
      <c r="CA41" s="7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</row>
    <row r="42" spans="1:133" ht="36" customHeight="1">
      <c r="A42" s="36" t="s">
        <v>98</v>
      </c>
      <c r="B42" s="37" t="s">
        <v>56</v>
      </c>
      <c r="C42" s="38">
        <v>80</v>
      </c>
      <c r="D42" s="39" t="s">
        <v>99</v>
      </c>
      <c r="E42" s="40">
        <v>46444</v>
      </c>
      <c r="F42" s="40">
        <v>46457</v>
      </c>
      <c r="G42" s="38" t="s">
        <v>48</v>
      </c>
      <c r="H42" s="37" t="s">
        <v>58</v>
      </c>
      <c r="I42" s="39" t="s">
        <v>33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7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7"/>
      <c r="AO42" s="1"/>
      <c r="AP42" s="1"/>
      <c r="AQ42" s="1"/>
      <c r="AR42" s="1"/>
      <c r="AS42" s="1"/>
      <c r="AT42" s="1"/>
      <c r="AU42" s="1"/>
      <c r="AV42" s="1"/>
      <c r="AW42" s="1"/>
      <c r="AX42" s="7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7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7"/>
      <c r="BW42" s="1"/>
      <c r="BX42" s="1"/>
      <c r="BY42" s="1"/>
      <c r="BZ42" s="1"/>
      <c r="CA42" s="7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7"/>
      <c r="DB42" s="7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4" t="s">
        <v>59</v>
      </c>
      <c r="DP42" s="14" t="s">
        <v>59</v>
      </c>
      <c r="DQ42" s="14" t="s">
        <v>59</v>
      </c>
      <c r="DR42" s="14" t="s">
        <v>59</v>
      </c>
      <c r="DS42" s="14" t="s">
        <v>59</v>
      </c>
      <c r="DT42" s="14" t="s">
        <v>59</v>
      </c>
      <c r="DU42" s="14" t="s">
        <v>59</v>
      </c>
      <c r="DV42" s="14" t="s">
        <v>59</v>
      </c>
      <c r="DW42" s="14" t="s">
        <v>59</v>
      </c>
      <c r="DX42" s="14" t="s">
        <v>59</v>
      </c>
      <c r="DY42" s="1"/>
      <c r="DZ42" s="1"/>
      <c r="EA42" s="1"/>
      <c r="EB42" s="1"/>
      <c r="EC42" s="1"/>
    </row>
    <row r="43" spans="1:133" ht="26.15" customHeight="1">
      <c r="A43" s="33" t="s">
        <v>60</v>
      </c>
      <c r="B43" s="34"/>
      <c r="C43" s="56">
        <f>SUM(C28:C42)</f>
        <v>742</v>
      </c>
      <c r="D43" s="34"/>
      <c r="E43" s="33"/>
      <c r="F43" s="43">
        <v>46457</v>
      </c>
      <c r="G43" s="33"/>
      <c r="H43" s="34"/>
      <c r="I43" s="20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7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7"/>
      <c r="AO43" s="35"/>
      <c r="AP43" s="35"/>
      <c r="AQ43" s="35"/>
      <c r="AR43" s="35"/>
      <c r="AS43" s="35"/>
      <c r="AT43" s="35"/>
      <c r="AU43" s="35"/>
      <c r="AV43" s="35"/>
      <c r="AW43" s="35"/>
      <c r="AX43" s="7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7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7"/>
      <c r="BW43" s="35"/>
      <c r="BX43" s="35"/>
      <c r="BY43" s="35"/>
      <c r="BZ43" s="35"/>
      <c r="CA43" s="7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</row>
    <row r="44" spans="1:133" ht="25" customHeight="1">
      <c r="A44" s="51" t="s">
        <v>100</v>
      </c>
      <c r="B44" s="52"/>
      <c r="C44" s="51"/>
      <c r="D44" s="51"/>
      <c r="E44" s="51"/>
      <c r="F44" s="51"/>
      <c r="G44" s="51"/>
      <c r="H44" s="52"/>
      <c r="I44" s="20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7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7"/>
      <c r="AO44" s="35"/>
      <c r="AP44" s="35"/>
      <c r="AQ44" s="35"/>
      <c r="AR44" s="35"/>
      <c r="AS44" s="35"/>
      <c r="AT44" s="35"/>
      <c r="AU44" s="35"/>
      <c r="AV44" s="35"/>
      <c r="AW44" s="35"/>
      <c r="AX44" s="7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7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7"/>
      <c r="BW44" s="35"/>
      <c r="BX44" s="35"/>
      <c r="BY44" s="35"/>
      <c r="BZ44" s="35"/>
      <c r="CA44" s="7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</row>
    <row r="45" spans="1:133" ht="48" customHeight="1">
      <c r="A45" s="36" t="s">
        <v>101</v>
      </c>
      <c r="B45" s="37" t="s">
        <v>102</v>
      </c>
      <c r="C45" s="41"/>
      <c r="D45" s="42" t="s">
        <v>103</v>
      </c>
      <c r="E45" s="40"/>
      <c r="F45" s="40"/>
      <c r="G45" s="12" t="s">
        <v>41</v>
      </c>
      <c r="H45" s="37" t="s">
        <v>104</v>
      </c>
      <c r="I45" s="39" t="s">
        <v>50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7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7"/>
      <c r="AO45" s="1"/>
      <c r="AP45" s="1"/>
      <c r="AQ45" s="1"/>
      <c r="AR45" s="1"/>
      <c r="AS45" s="1"/>
      <c r="AT45" s="1"/>
      <c r="AU45" s="1"/>
      <c r="AV45" s="1"/>
      <c r="AW45" s="1"/>
      <c r="AX45" s="7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7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7"/>
      <c r="BW45" s="1"/>
      <c r="BX45" s="1"/>
      <c r="BY45" s="1"/>
      <c r="BZ45" s="1"/>
      <c r="CA45" s="7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</row>
    <row r="46" spans="1:133" ht="48" customHeight="1">
      <c r="A46" s="36" t="s">
        <v>105</v>
      </c>
      <c r="B46" s="37" t="s">
        <v>106</v>
      </c>
      <c r="C46" s="38">
        <v>38</v>
      </c>
      <c r="D46" s="39" t="s">
        <v>205</v>
      </c>
      <c r="E46" s="40">
        <v>46342</v>
      </c>
      <c r="F46" s="40">
        <v>46350</v>
      </c>
      <c r="G46" s="15" t="s">
        <v>72</v>
      </c>
      <c r="H46" s="37" t="s">
        <v>107</v>
      </c>
      <c r="I46" s="39" t="s">
        <v>50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7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7"/>
      <c r="AO46" s="1"/>
      <c r="AP46" s="1"/>
      <c r="AQ46" s="1"/>
      <c r="AR46" s="1"/>
      <c r="AS46" s="13" t="s">
        <v>64</v>
      </c>
      <c r="AT46" s="13" t="s">
        <v>64</v>
      </c>
      <c r="AU46" s="11" t="s">
        <v>44</v>
      </c>
      <c r="AV46" s="11" t="s">
        <v>44</v>
      </c>
      <c r="AW46" s="11" t="s">
        <v>38</v>
      </c>
      <c r="AX46" s="7"/>
      <c r="AY46" s="10" t="s">
        <v>34</v>
      </c>
      <c r="AZ46" s="1"/>
      <c r="BA46" s="1"/>
      <c r="BB46" s="1"/>
      <c r="BC46" s="1"/>
      <c r="BD46" s="1"/>
      <c r="BE46" s="1"/>
      <c r="BF46" s="1"/>
      <c r="BG46" s="1"/>
      <c r="BH46" s="1"/>
      <c r="BI46" s="7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7"/>
      <c r="BW46" s="1"/>
      <c r="BX46" s="1"/>
      <c r="BY46" s="1"/>
      <c r="BZ46" s="1"/>
      <c r="CA46" s="7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7"/>
      <c r="DB46" s="7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</row>
    <row r="47" spans="1:133" ht="48" customHeight="1">
      <c r="A47" s="36" t="s">
        <v>108</v>
      </c>
      <c r="B47" s="37" t="s">
        <v>109</v>
      </c>
      <c r="C47" s="38">
        <v>76</v>
      </c>
      <c r="D47" s="39" t="s">
        <v>206</v>
      </c>
      <c r="E47" s="40">
        <v>46350</v>
      </c>
      <c r="F47" s="40">
        <v>46371</v>
      </c>
      <c r="G47" s="15" t="s">
        <v>72</v>
      </c>
      <c r="H47" s="37" t="s">
        <v>107</v>
      </c>
      <c r="I47" s="39" t="s">
        <v>50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7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7"/>
      <c r="AO47" s="1"/>
      <c r="AP47" s="1"/>
      <c r="AQ47" s="1"/>
      <c r="AR47" s="1"/>
      <c r="AS47" s="1"/>
      <c r="AT47" s="1"/>
      <c r="AU47" s="1"/>
      <c r="AV47" s="1"/>
      <c r="AW47" s="1"/>
      <c r="AX47" s="7"/>
      <c r="AY47" s="13" t="s">
        <v>64</v>
      </c>
      <c r="AZ47" s="13" t="s">
        <v>64</v>
      </c>
      <c r="BA47" s="11" t="s">
        <v>44</v>
      </c>
      <c r="BB47" s="11" t="s">
        <v>44</v>
      </c>
      <c r="BC47" s="11" t="s">
        <v>44</v>
      </c>
      <c r="BD47" s="11" t="s">
        <v>44</v>
      </c>
      <c r="BE47" s="11" t="s">
        <v>44</v>
      </c>
      <c r="BF47" s="11" t="s">
        <v>44</v>
      </c>
      <c r="BG47" s="11" t="s">
        <v>38</v>
      </c>
      <c r="BH47" s="11" t="s">
        <v>38</v>
      </c>
      <c r="BI47" s="7"/>
      <c r="BJ47" s="1"/>
      <c r="BK47" s="1"/>
      <c r="BL47" s="1"/>
      <c r="BM47" s="10" t="s">
        <v>34</v>
      </c>
      <c r="BN47" s="10" t="s">
        <v>34</v>
      </c>
      <c r="BO47" s="1"/>
      <c r="BP47" s="1"/>
      <c r="BQ47" s="1"/>
      <c r="BR47" s="1"/>
      <c r="BS47" s="1"/>
      <c r="BT47" s="1"/>
      <c r="BU47" s="1"/>
      <c r="BV47" s="7"/>
      <c r="BW47" s="1"/>
      <c r="BX47" s="1"/>
      <c r="BY47" s="1"/>
      <c r="BZ47" s="1"/>
      <c r="CA47" s="7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7"/>
      <c r="DB47" s="7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</row>
    <row r="48" spans="1:133" ht="48" customHeight="1">
      <c r="A48" s="36" t="s">
        <v>110</v>
      </c>
      <c r="B48" s="37" t="s">
        <v>111</v>
      </c>
      <c r="C48" s="38">
        <v>64</v>
      </c>
      <c r="D48" s="39" t="s">
        <v>71</v>
      </c>
      <c r="E48" s="40">
        <v>46365</v>
      </c>
      <c r="F48" s="40">
        <v>46378</v>
      </c>
      <c r="G48" s="15" t="s">
        <v>72</v>
      </c>
      <c r="H48" s="37" t="s">
        <v>107</v>
      </c>
      <c r="I48" s="39" t="s">
        <v>50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7"/>
      <c r="AO48" s="1"/>
      <c r="AP48" s="1"/>
      <c r="AQ48" s="1"/>
      <c r="AR48" s="1"/>
      <c r="AS48" s="1"/>
      <c r="AT48" s="1"/>
      <c r="AU48" s="1"/>
      <c r="AV48" s="1"/>
      <c r="AW48" s="1"/>
      <c r="AX48" s="7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7"/>
      <c r="BJ48" s="13" t="s">
        <v>64</v>
      </c>
      <c r="BK48" s="13" t="s">
        <v>64</v>
      </c>
      <c r="BL48" s="11" t="s">
        <v>44</v>
      </c>
      <c r="BM48" s="11" t="s">
        <v>44</v>
      </c>
      <c r="BN48" s="11" t="s">
        <v>44</v>
      </c>
      <c r="BO48" s="11" t="s">
        <v>44</v>
      </c>
      <c r="BP48" s="11" t="s">
        <v>38</v>
      </c>
      <c r="BQ48" s="11" t="s">
        <v>38</v>
      </c>
      <c r="BR48" s="10" t="s">
        <v>34</v>
      </c>
      <c r="BS48" s="10" t="s">
        <v>34</v>
      </c>
      <c r="BT48" s="1"/>
      <c r="BU48" s="1"/>
      <c r="BV48" s="7"/>
      <c r="BW48" s="1"/>
      <c r="BX48" s="1"/>
      <c r="BY48" s="1"/>
      <c r="BZ48" s="1"/>
      <c r="CA48" s="7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7"/>
      <c r="DB48" s="7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</row>
    <row r="49" spans="1:133" ht="48" customHeight="1">
      <c r="A49" s="36" t="s">
        <v>112</v>
      </c>
      <c r="B49" s="37" t="s">
        <v>113</v>
      </c>
      <c r="C49" s="38">
        <v>48</v>
      </c>
      <c r="D49" s="39" t="s">
        <v>207</v>
      </c>
      <c r="E49" s="40">
        <v>46377</v>
      </c>
      <c r="F49" s="40">
        <v>46392</v>
      </c>
      <c r="G49" s="15" t="s">
        <v>72</v>
      </c>
      <c r="H49" s="37" t="s">
        <v>107</v>
      </c>
      <c r="I49" s="39" t="s">
        <v>33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7"/>
      <c r="AO49" s="1"/>
      <c r="AP49" s="1"/>
      <c r="AQ49" s="1"/>
      <c r="AR49" s="1"/>
      <c r="AS49" s="1"/>
      <c r="AT49" s="1"/>
      <c r="AU49" s="1"/>
      <c r="AV49" s="1"/>
      <c r="AW49" s="1"/>
      <c r="AX49" s="7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7"/>
      <c r="BJ49" s="1"/>
      <c r="BK49" s="1"/>
      <c r="BL49" s="1"/>
      <c r="BM49" s="1"/>
      <c r="BN49" s="1"/>
      <c r="BO49" s="1"/>
      <c r="BP49" s="1"/>
      <c r="BQ49" s="1"/>
      <c r="BR49" s="13" t="s">
        <v>64</v>
      </c>
      <c r="BS49" s="11" t="s">
        <v>44</v>
      </c>
      <c r="BT49" s="11" t="s">
        <v>44</v>
      </c>
      <c r="BU49" s="11" t="s">
        <v>44</v>
      </c>
      <c r="BV49" s="7"/>
      <c r="BW49" s="11" t="s">
        <v>38</v>
      </c>
      <c r="BX49" s="11" t="s">
        <v>38</v>
      </c>
      <c r="BY49" s="1"/>
      <c r="BZ49" s="1"/>
      <c r="CA49" s="7"/>
      <c r="CB49" s="10" t="s">
        <v>34</v>
      </c>
      <c r="CC49" s="10" t="s">
        <v>34</v>
      </c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7"/>
      <c r="DB49" s="7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</row>
    <row r="50" spans="1:133" ht="36" customHeight="1">
      <c r="A50" s="36" t="s">
        <v>184</v>
      </c>
      <c r="B50" s="37" t="s">
        <v>95</v>
      </c>
      <c r="C50" s="38">
        <v>12</v>
      </c>
      <c r="D50" s="39" t="s">
        <v>182</v>
      </c>
      <c r="E50" s="40">
        <v>46386</v>
      </c>
      <c r="F50" s="40">
        <v>46387</v>
      </c>
      <c r="G50" s="38" t="s">
        <v>48</v>
      </c>
      <c r="H50" s="37"/>
      <c r="I50" s="39" t="s">
        <v>33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7"/>
      <c r="AO50" s="1"/>
      <c r="AP50" s="1"/>
      <c r="AQ50" s="1"/>
      <c r="AR50" s="1"/>
      <c r="AS50" s="1"/>
      <c r="AT50" s="1"/>
      <c r="AU50" s="1"/>
      <c r="AV50" s="1"/>
      <c r="AW50" s="1"/>
      <c r="AX50" s="7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7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7"/>
      <c r="BW50" s="1"/>
      <c r="BX50" s="1"/>
      <c r="BY50" s="13" t="s">
        <v>64</v>
      </c>
      <c r="BZ50" s="13" t="s">
        <v>64</v>
      </c>
      <c r="CA50" s="7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7"/>
      <c r="DB50" s="7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</row>
    <row r="51" spans="1:133" ht="36" customHeight="1">
      <c r="A51" s="36" t="s">
        <v>114</v>
      </c>
      <c r="B51" s="37" t="s">
        <v>52</v>
      </c>
      <c r="C51" s="38">
        <v>0</v>
      </c>
      <c r="D51" s="39" t="s">
        <v>53</v>
      </c>
      <c r="E51" s="40">
        <v>46392</v>
      </c>
      <c r="F51" s="40">
        <v>46392</v>
      </c>
      <c r="G51" s="38" t="s">
        <v>48</v>
      </c>
      <c r="H51" s="37" t="s">
        <v>54</v>
      </c>
      <c r="I51" s="39" t="s">
        <v>33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7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7"/>
      <c r="AO51" s="1"/>
      <c r="AP51" s="1"/>
      <c r="AQ51" s="1"/>
      <c r="AR51" s="1"/>
      <c r="AS51" s="1"/>
      <c r="AT51" s="1"/>
      <c r="AU51" s="1"/>
      <c r="AV51" s="1"/>
      <c r="AW51" s="1"/>
      <c r="AX51" s="7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7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7"/>
      <c r="BW51" s="1"/>
      <c r="BX51" s="1"/>
      <c r="BY51" s="1"/>
      <c r="BZ51" s="1"/>
      <c r="CA51" s="7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</row>
    <row r="52" spans="1:133" ht="36" customHeight="1">
      <c r="A52" s="36" t="s">
        <v>115</v>
      </c>
      <c r="B52" s="37" t="s">
        <v>56</v>
      </c>
      <c r="C52" s="38">
        <v>32</v>
      </c>
      <c r="D52" s="39" t="s">
        <v>116</v>
      </c>
      <c r="E52" s="40">
        <v>46393</v>
      </c>
      <c r="F52" s="40">
        <v>46398</v>
      </c>
      <c r="G52" s="38" t="s">
        <v>48</v>
      </c>
      <c r="H52" s="37" t="s">
        <v>117</v>
      </c>
      <c r="I52" s="39" t="s">
        <v>33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7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7"/>
      <c r="AO52" s="1"/>
      <c r="AP52" s="1"/>
      <c r="AQ52" s="1"/>
      <c r="AR52" s="1"/>
      <c r="AS52" s="1"/>
      <c r="AT52" s="1"/>
      <c r="AU52" s="1"/>
      <c r="AV52" s="1"/>
      <c r="AW52" s="1"/>
      <c r="AX52" s="7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7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7"/>
      <c r="BW52" s="1"/>
      <c r="BX52" s="1"/>
      <c r="BY52" s="1"/>
      <c r="BZ52" s="1"/>
      <c r="CA52" s="7"/>
      <c r="CB52" s="1"/>
      <c r="CC52" s="1"/>
      <c r="CD52" s="14" t="s">
        <v>59</v>
      </c>
      <c r="CE52" s="14" t="s">
        <v>59</v>
      </c>
      <c r="CF52" s="14" t="s">
        <v>59</v>
      </c>
      <c r="CG52" s="14" t="s">
        <v>59</v>
      </c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7"/>
      <c r="DB52" s="7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</row>
    <row r="53" spans="1:133" ht="26.15" customHeight="1">
      <c r="A53" s="33" t="s">
        <v>60</v>
      </c>
      <c r="B53" s="34"/>
      <c r="C53" s="56">
        <f>SUM(C45:C52)</f>
        <v>270</v>
      </c>
      <c r="D53" s="34"/>
      <c r="E53" s="33"/>
      <c r="F53" s="43">
        <v>46398</v>
      </c>
      <c r="G53" s="33"/>
      <c r="H53" s="34"/>
      <c r="I53" s="20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7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7"/>
      <c r="AO53" s="35"/>
      <c r="AP53" s="35"/>
      <c r="AQ53" s="35"/>
      <c r="AR53" s="35"/>
      <c r="AS53" s="35"/>
      <c r="AT53" s="35"/>
      <c r="AU53" s="35"/>
      <c r="AV53" s="35"/>
      <c r="AW53" s="35"/>
      <c r="AX53" s="7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7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7"/>
      <c r="BW53" s="35"/>
      <c r="BX53" s="35"/>
      <c r="BY53" s="35"/>
      <c r="BZ53" s="35"/>
      <c r="CA53" s="7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</row>
    <row r="54" spans="1:133" ht="28" customHeight="1">
      <c r="A54" s="44" t="s">
        <v>118</v>
      </c>
      <c r="B54" s="45"/>
      <c r="C54" s="57">
        <f>SUM(C26,C43,C53)</f>
        <v>1164</v>
      </c>
      <c r="D54" s="45"/>
      <c r="E54" s="44"/>
      <c r="F54" s="46">
        <v>46457</v>
      </c>
      <c r="G54" s="44"/>
      <c r="H54" s="45"/>
      <c r="I54" s="18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7"/>
      <c r="AO54" s="47"/>
      <c r="AP54" s="47"/>
      <c r="AQ54" s="47"/>
      <c r="AR54" s="47"/>
      <c r="AS54" s="47"/>
      <c r="AT54" s="47"/>
      <c r="AU54" s="47"/>
      <c r="AV54" s="47"/>
      <c r="AW54" s="47"/>
      <c r="AX54" s="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7"/>
      <c r="BW54" s="47"/>
      <c r="BX54" s="47"/>
      <c r="BY54" s="47"/>
      <c r="BZ54" s="47"/>
      <c r="CA54" s="7"/>
      <c r="CB54" s="47"/>
      <c r="CC54" s="47"/>
      <c r="CD54" s="47"/>
      <c r="CE54" s="47"/>
      <c r="CF54" s="47"/>
      <c r="CG54" s="47"/>
      <c r="CH54" s="47"/>
      <c r="CI54" s="47"/>
      <c r="CJ54" s="47"/>
      <c r="CK54" s="47"/>
      <c r="CL54" s="47"/>
      <c r="CM54" s="47"/>
      <c r="CN54" s="47"/>
      <c r="CO54" s="47"/>
      <c r="CP54" s="47"/>
      <c r="CQ54" s="47"/>
      <c r="CR54" s="47"/>
      <c r="CS54" s="47"/>
      <c r="CT54" s="47"/>
      <c r="CU54" s="47"/>
      <c r="CV54" s="47"/>
      <c r="CW54" s="47"/>
      <c r="CX54" s="47"/>
      <c r="CY54" s="47"/>
      <c r="CZ54" s="47"/>
      <c r="DA54" s="47"/>
      <c r="DB54" s="47"/>
      <c r="DC54" s="47"/>
      <c r="DD54" s="47"/>
      <c r="DE54" s="47"/>
      <c r="DF54" s="47"/>
      <c r="DG54" s="47"/>
      <c r="DH54" s="47"/>
      <c r="DI54" s="47"/>
      <c r="DJ54" s="47"/>
      <c r="DK54" s="47"/>
      <c r="DL54" s="47"/>
      <c r="DM54" s="47"/>
      <c r="DN54" s="47"/>
      <c r="DO54" s="47"/>
      <c r="DP54" s="47"/>
      <c r="DQ54" s="47"/>
      <c r="DR54" s="47"/>
      <c r="DS54" s="47"/>
      <c r="DT54" s="47"/>
      <c r="DU54" s="47"/>
      <c r="DV54" s="47"/>
      <c r="DW54" s="47"/>
      <c r="DX54" s="47"/>
      <c r="DY54" s="47"/>
      <c r="DZ54" s="47"/>
      <c r="EA54" s="47"/>
      <c r="EB54" s="47"/>
      <c r="EC54" s="47"/>
    </row>
    <row r="55" spans="1:133" ht="26.15" customHeight="1">
      <c r="A55" s="33" t="s">
        <v>119</v>
      </c>
      <c r="B55" s="34"/>
      <c r="C55" s="56">
        <f>C54</f>
        <v>1164</v>
      </c>
      <c r="D55" s="34"/>
      <c r="E55" s="33"/>
      <c r="F55" s="43">
        <v>46457</v>
      </c>
      <c r="G55" s="33"/>
      <c r="H55" s="34"/>
      <c r="I55" s="20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7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7"/>
      <c r="AO55" s="35"/>
      <c r="AP55" s="35"/>
      <c r="AQ55" s="35"/>
      <c r="AR55" s="35"/>
      <c r="AS55" s="35"/>
      <c r="AT55" s="35"/>
      <c r="AU55" s="35"/>
      <c r="AV55" s="35"/>
      <c r="AW55" s="35"/>
      <c r="AX55" s="7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7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7"/>
      <c r="BW55" s="35"/>
      <c r="BX55" s="35"/>
      <c r="BY55" s="35"/>
      <c r="BZ55" s="35"/>
      <c r="CA55" s="7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</row>
    <row r="56" spans="1:133">
      <c r="A56" s="1"/>
      <c r="B56" s="2"/>
      <c r="C56" s="1"/>
      <c r="D56" s="2"/>
      <c r="E56" s="1"/>
      <c r="F56" s="1"/>
      <c r="G56" s="1"/>
      <c r="H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</row>
  </sheetData>
  <mergeCells count="7">
    <mergeCell ref="A2:H2"/>
    <mergeCell ref="A3:H3"/>
    <mergeCell ref="A27:H27"/>
    <mergeCell ref="A44:H44"/>
    <mergeCell ref="A6:H6"/>
    <mergeCell ref="A8:H8"/>
    <mergeCell ref="A11: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04E78"/>
  </sheetPr>
  <dimension ref="A1:EP71"/>
  <sheetViews>
    <sheetView showGridLines="0" tabSelected="1" topLeftCell="A60" zoomScale="70" zoomScaleNormal="70" workbookViewId="0">
      <pane xSplit="9" topLeftCell="J1" activePane="topRight" state="frozen"/>
      <selection pane="topRight" activeCell="J12" sqref="J12"/>
    </sheetView>
  </sheetViews>
  <sheetFormatPr defaultRowHeight="14"/>
  <cols>
    <col min="1" max="1" width="6.08203125" customWidth="1"/>
    <col min="2" max="2" width="44" customWidth="1"/>
    <col min="3" max="3" width="5.08203125" customWidth="1"/>
    <col min="4" max="4" width="14.83203125" style="17" bestFit="1" customWidth="1"/>
    <col min="5" max="5" width="11.08203125" customWidth="1"/>
    <col min="6" max="6" width="9.33203125" customWidth="1"/>
    <col min="7" max="7" width="8.08203125" customWidth="1"/>
    <col min="8" max="8" width="28.83203125" customWidth="1"/>
    <col min="9" max="9" width="18.5" customWidth="1"/>
    <col min="10" max="146" width="5.58203125" customWidth="1"/>
  </cols>
  <sheetData>
    <row r="1" spans="1:146" ht="0.65" customHeight="1">
      <c r="A1" s="1"/>
      <c r="B1" s="2"/>
      <c r="C1" s="1"/>
      <c r="D1" s="2"/>
      <c r="E1" s="1"/>
      <c r="F1" s="1"/>
      <c r="G1" s="1"/>
      <c r="H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</row>
    <row r="2" spans="1:146" ht="24.65" customHeight="1">
      <c r="A2" s="48" t="s">
        <v>120</v>
      </c>
      <c r="B2" s="49"/>
      <c r="C2" s="48"/>
      <c r="D2" s="48"/>
      <c r="E2" s="48"/>
      <c r="F2" s="48"/>
      <c r="G2" s="48"/>
      <c r="H2" s="49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</row>
    <row r="3" spans="1:146" ht="18.649999999999999" customHeight="1">
      <c r="A3" s="50" t="inlineStr">
        <is>
          <t>IA y micrositio. A/D/TI: 1 persona x 6 h/día; QA y Producción: carriles separados de 8 h/día. Cada escenario inicia tras el cierre calculado de Etapa 1.</t>
        </is>
      </c>
      <c r="B3" s="50"/>
      <c r="C3" s="50"/>
      <c r="D3" s="50"/>
      <c r="E3" s="50"/>
      <c r="F3" s="50"/>
      <c r="G3" s="50"/>
      <c r="H3" s="50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</row>
    <row r="4" spans="1:146" ht="26.5" customHeight="1">
      <c r="A4" s="3" t="s">
        <v>2</v>
      </c>
      <c r="B4" s="4" t="s">
        <v>3</v>
      </c>
      <c r="C4" s="5" t="s">
        <v>4</v>
      </c>
      <c r="D4" s="6" t="s">
        <v>5</v>
      </c>
      <c r="E4" s="8" t="s">
        <v>6</v>
      </c>
      <c r="F4" s="22" t="s">
        <v>7</v>
      </c>
      <c r="G4" s="23" t="s">
        <v>8</v>
      </c>
      <c r="H4" s="24" t="s">
        <v>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</row>
    <row r="5" spans="1:146" ht="7.5" customHeight="1">
      <c r="A5" s="1"/>
      <c r="B5" s="2"/>
      <c r="C5" s="1"/>
      <c r="D5" s="2"/>
      <c r="E5" s="1"/>
      <c r="F5" s="1"/>
      <c r="G5" s="1"/>
      <c r="H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</row>
    <row r="6" spans="1:146" ht="27" customHeight="1">
      <c r="A6" s="53" t="s">
        <v>122</v>
      </c>
      <c r="B6" s="54"/>
      <c r="C6" s="53"/>
      <c r="D6" s="53"/>
      <c r="E6" s="53"/>
      <c r="F6" s="53"/>
      <c r="G6" s="53"/>
      <c r="H6" s="54"/>
      <c r="I6" s="19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</row>
    <row r="7" spans="1:146" ht="27" customHeight="1">
      <c r="A7" s="26" t="s">
        <v>11</v>
      </c>
      <c r="B7" s="58">
        <f>C35</f>
        <v>936</v>
      </c>
      <c r="C7" s="27" t="s">
        <v>12</v>
      </c>
      <c r="D7" s="28">
        <v>46458</v>
      </c>
      <c r="E7" s="27" t="s">
        <v>13</v>
      </c>
      <c r="F7" s="29">
        <v>46633</v>
      </c>
      <c r="G7" s="27"/>
      <c r="H7" s="26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</row>
    <row r="8" spans="1:146" ht="40" customHeight="1">
      <c r="A8" s="55" t="inlineStr">
        <is>
          <t>Objetivo tentativo de IA: 31/03/2027; fin calculado: 25/06/2027. La tarea 2.7 permanece tentativa y fuera del cronograma. Fechas sujetas a accesos y aprobación Snyk.</t>
        </is>
      </c>
      <c r="B8" s="55"/>
      <c r="C8" s="55"/>
      <c r="D8" s="55"/>
      <c r="E8" s="55"/>
      <c r="F8" s="55"/>
      <c r="G8" s="55"/>
      <c r="H8" s="55"/>
      <c r="I8" s="2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</row>
    <row r="9" spans="1:146" ht="20.149999999999999" customHeight="1">
      <c r="A9" s="1"/>
      <c r="B9" s="2"/>
      <c r="C9" s="1"/>
      <c r="D9" s="2"/>
      <c r="E9" s="1"/>
      <c r="F9" s="1"/>
      <c r="G9" s="1"/>
      <c r="H9" s="2"/>
      <c r="J9" s="30" t="inlineStr">
        <is>
          <t>MAR 27</t>
        </is>
      </c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 t="inlineStr">
        <is>
          <t>ABR 27</t>
        </is>
      </c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 t="inlineStr">
        <is>
          <t>MAY 27</t>
        </is>
      </c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 t="inlineStr">
        <is>
          <t>JUN 27</t>
        </is>
      </c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 t="inlineStr">
        <is>
          <t>JUL 27</t>
        </is>
      </c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 t="inlineStr">
        <is>
          <t>AGO 27</t>
        </is>
      </c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 t="inlineStr">
        <is>
          <t>SEPT 27</t>
        </is>
      </c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</row>
    <row r="10" spans="1:146" ht="32.15" customHeight="1">
      <c r="A10" s="31" t="s">
        <v>20</v>
      </c>
      <c r="B10" s="31" t="s">
        <v>21</v>
      </c>
      <c r="C10" s="31" t="s">
        <v>22</v>
      </c>
      <c r="D10" s="31" t="s">
        <v>23</v>
      </c>
      <c r="E10" s="31" t="s">
        <v>12</v>
      </c>
      <c r="F10" s="31" t="s">
        <v>24</v>
      </c>
      <c r="G10" s="31" t="s">
        <v>8</v>
      </c>
      <c r="H10" s="31" t="s">
        <v>25</v>
      </c>
      <c r="I10" s="31" t="s">
        <v>26</v>
      </c>
      <c r="J10" s="32">
        <v>46458</v>
      </c>
      <c r="K10" s="32">
        <v>46461</v>
      </c>
      <c r="L10" s="32">
        <v>46462</v>
      </c>
      <c r="M10" s="32">
        <v>46463</v>
      </c>
      <c r="N10" s="32">
        <v>46464</v>
      </c>
      <c r="O10" s="32">
        <v>46465</v>
      </c>
      <c r="P10" s="32">
        <v>46468</v>
      </c>
      <c r="Q10" s="32">
        <v>46469</v>
      </c>
      <c r="R10" s="16">
        <v>46470</v>
      </c>
      <c r="S10" s="32">
        <v>46471</v>
      </c>
      <c r="T10" s="16">
        <v>46472</v>
      </c>
      <c r="U10" s="32">
        <v>46475</v>
      </c>
      <c r="V10" s="32">
        <v>46476</v>
      </c>
      <c r="W10" s="32">
        <v>46477</v>
      </c>
      <c r="X10" s="32">
        <v>46478</v>
      </c>
      <c r="Y10" s="16">
        <v>46479</v>
      </c>
      <c r="Z10" s="32">
        <v>46482</v>
      </c>
      <c r="AA10" s="32">
        <v>46483</v>
      </c>
      <c r="AB10" s="32">
        <v>46484</v>
      </c>
      <c r="AC10" s="32">
        <v>46485</v>
      </c>
      <c r="AD10" s="32">
        <v>46486</v>
      </c>
      <c r="AE10" s="32">
        <v>46489</v>
      </c>
      <c r="AF10" s="32">
        <v>46490</v>
      </c>
      <c r="AG10" s="32">
        <v>46491</v>
      </c>
      <c r="AH10" s="32">
        <v>46492</v>
      </c>
      <c r="AI10" s="32">
        <v>46493</v>
      </c>
      <c r="AJ10" s="32">
        <v>46496</v>
      </c>
      <c r="AK10" s="32">
        <v>46497</v>
      </c>
      <c r="AL10" s="32">
        <v>46498</v>
      </c>
      <c r="AM10" s="32">
        <v>46499</v>
      </c>
      <c r="AN10" s="32">
        <v>46500</v>
      </c>
      <c r="AO10" s="32">
        <v>46503</v>
      </c>
      <c r="AP10" s="32">
        <v>46504</v>
      </c>
      <c r="AQ10" s="32">
        <v>46505</v>
      </c>
      <c r="AR10" s="32">
        <v>46506</v>
      </c>
      <c r="AS10" s="32">
        <v>46507</v>
      </c>
      <c r="AT10" s="32">
        <v>46510</v>
      </c>
      <c r="AU10" s="32">
        <v>46511</v>
      </c>
      <c r="AV10" s="32">
        <v>46512</v>
      </c>
      <c r="AW10" s="32">
        <v>46513</v>
      </c>
      <c r="AX10" s="32">
        <v>46514</v>
      </c>
      <c r="AY10" s="32">
        <v>46517</v>
      </c>
      <c r="AZ10" s="32">
        <v>46518</v>
      </c>
      <c r="BA10" s="32">
        <v>46519</v>
      </c>
      <c r="BB10" s="32">
        <v>46520</v>
      </c>
      <c r="BC10" s="32">
        <v>46521</v>
      </c>
      <c r="BD10" s="32">
        <v>46524</v>
      </c>
      <c r="BE10" s="32">
        <v>46525</v>
      </c>
      <c r="BF10" s="32">
        <v>46526</v>
      </c>
      <c r="BG10" s="32">
        <v>46527</v>
      </c>
      <c r="BH10" s="32">
        <v>46528</v>
      </c>
      <c r="BI10" s="32">
        <v>46531</v>
      </c>
      <c r="BJ10" s="16">
        <v>46532</v>
      </c>
      <c r="BK10" s="32">
        <v>46533</v>
      </c>
      <c r="BL10" s="32">
        <v>46534</v>
      </c>
      <c r="BM10" s="32">
        <v>46535</v>
      </c>
      <c r="BN10" s="32">
        <v>46538</v>
      </c>
      <c r="BO10" s="32">
        <v>46539</v>
      </c>
      <c r="BP10" s="32">
        <v>46540</v>
      </c>
      <c r="BQ10" s="32">
        <v>46541</v>
      </c>
      <c r="BR10" s="32">
        <v>46542</v>
      </c>
      <c r="BS10" s="32">
        <v>46545</v>
      </c>
      <c r="BT10" s="32">
        <v>46546</v>
      </c>
      <c r="BU10" s="32">
        <v>46547</v>
      </c>
      <c r="BV10" s="32">
        <v>46548</v>
      </c>
      <c r="BW10" s="32">
        <v>46549</v>
      </c>
      <c r="BX10" s="32">
        <v>46552</v>
      </c>
      <c r="BY10" s="32">
        <v>46553</v>
      </c>
      <c r="BZ10" s="32">
        <v>46554</v>
      </c>
      <c r="CA10" s="32">
        <v>46555</v>
      </c>
      <c r="CB10" s="32">
        <v>46556</v>
      </c>
      <c r="CC10" s="16">
        <v>46559</v>
      </c>
      <c r="CD10" s="32">
        <v>46560</v>
      </c>
      <c r="CE10" s="32">
        <v>46561</v>
      </c>
      <c r="CF10" s="32">
        <v>46562</v>
      </c>
      <c r="CG10" s="32">
        <v>46563</v>
      </c>
      <c r="CH10" s="32">
        <v>46566</v>
      </c>
      <c r="CI10" s="32">
        <v>46567</v>
      </c>
      <c r="CJ10" s="32">
        <v>46568</v>
      </c>
      <c r="CK10" s="32">
        <v>46569</v>
      </c>
      <c r="CL10" s="32">
        <v>46570</v>
      </c>
      <c r="CM10" s="32">
        <v>46573</v>
      </c>
      <c r="CN10" s="32">
        <v>46574</v>
      </c>
      <c r="CO10" s="32">
        <v>46575</v>
      </c>
      <c r="CP10" s="32">
        <v>46576</v>
      </c>
      <c r="CQ10" s="16">
        <v>46577</v>
      </c>
      <c r="CR10" s="32">
        <v>46580</v>
      </c>
      <c r="CS10" s="32">
        <v>46581</v>
      </c>
      <c r="CT10" s="32">
        <v>46582</v>
      </c>
      <c r="CU10" s="32">
        <v>46583</v>
      </c>
      <c r="CV10" s="32">
        <v>46584</v>
      </c>
      <c r="CW10" s="32">
        <v>46587</v>
      </c>
      <c r="CX10" s="32">
        <v>46588</v>
      </c>
      <c r="CY10" s="32">
        <v>46589</v>
      </c>
      <c r="CZ10" s="32">
        <v>46590</v>
      </c>
      <c r="DA10" s="32">
        <v>46591</v>
      </c>
      <c r="DB10" s="32">
        <v>46594</v>
      </c>
      <c r="DC10" s="32">
        <v>46595</v>
      </c>
      <c r="DD10" s="32">
        <v>46596</v>
      </c>
      <c r="DE10" s="32">
        <v>46597</v>
      </c>
      <c r="DF10" s="32">
        <v>46598</v>
      </c>
      <c r="DG10" s="32">
        <v>46601</v>
      </c>
      <c r="DH10" s="32">
        <v>46602</v>
      </c>
      <c r="DI10" s="32">
        <v>46603</v>
      </c>
      <c r="DJ10" s="32">
        <v>46604</v>
      </c>
      <c r="DK10" s="32">
        <v>46605</v>
      </c>
      <c r="DL10" s="32">
        <v>46608</v>
      </c>
      <c r="DM10" s="32">
        <v>46609</v>
      </c>
      <c r="DN10" s="32">
        <v>46610</v>
      </c>
      <c r="DO10" s="32">
        <v>46611</v>
      </c>
      <c r="DP10" s="32">
        <v>46612</v>
      </c>
      <c r="DQ10" s="16">
        <v>46615</v>
      </c>
      <c r="DR10" s="32">
        <v>46616</v>
      </c>
      <c r="DS10" s="32">
        <v>46617</v>
      </c>
      <c r="DT10" s="32">
        <v>46618</v>
      </c>
      <c r="DU10" s="32">
        <v>46619</v>
      </c>
      <c r="DV10" s="32">
        <v>46622</v>
      </c>
      <c r="DW10" s="32">
        <v>46623</v>
      </c>
      <c r="DX10" s="32">
        <v>46624</v>
      </c>
      <c r="DY10" s="32">
        <v>46625</v>
      </c>
      <c r="DZ10" s="32">
        <v>46626</v>
      </c>
      <c r="EA10" s="32">
        <v>46629</v>
      </c>
      <c r="EB10" s="32">
        <v>46630</v>
      </c>
      <c r="EC10" s="32">
        <v>46631</v>
      </c>
      <c r="ED10" s="32">
        <v>46632</v>
      </c>
      <c r="EE10" s="32">
        <v>46633</v>
      </c>
      <c r="EF10" s="32">
        <v>46636</v>
      </c>
      <c r="EG10" s="32">
        <v>46637</v>
      </c>
      <c r="EH10" s="32">
        <v>46638</v>
      </c>
      <c r="EI10" s="32">
        <v>46639</v>
      </c>
      <c r="EJ10" s="32">
        <v>46640</v>
      </c>
      <c r="EK10" s="32">
        <v>46643</v>
      </c>
      <c r="EL10" s="32">
        <v>46644</v>
      </c>
      <c r="EM10" s="32">
        <v>46645</v>
      </c>
      <c r="EN10" s="32">
        <v>46646</v>
      </c>
      <c r="EO10" s="32">
        <v>46647</v>
      </c>
      <c r="EP10" s="32">
        <v>46650</v>
      </c>
    </row>
    <row r="11" spans="1:146" ht="25" customHeight="1">
      <c r="A11" s="51" t="s">
        <v>128</v>
      </c>
      <c r="B11" s="52"/>
      <c r="C11" s="51"/>
      <c r="D11" s="51"/>
      <c r="E11" s="51"/>
      <c r="F11" s="51"/>
      <c r="G11" s="51"/>
      <c r="H11" s="52"/>
      <c r="I11" s="20"/>
      <c r="J11" s="35"/>
      <c r="K11" s="35"/>
      <c r="L11" s="35"/>
      <c r="M11" s="35"/>
      <c r="N11" s="35"/>
      <c r="O11" s="35"/>
      <c r="P11" s="35"/>
      <c r="Q11" s="35"/>
      <c r="R11" s="7"/>
      <c r="S11" s="35"/>
      <c r="T11" s="7"/>
      <c r="U11" s="35"/>
      <c r="V11" s="35"/>
      <c r="W11" s="35"/>
      <c r="X11" s="35"/>
      <c r="Y11" s="7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7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7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7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7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</row>
    <row r="12" spans="1:146" ht="48" customHeight="1">
      <c r="A12" s="36" t="s">
        <v>129</v>
      </c>
      <c r="B12" s="37" t="s">
        <v>130</v>
      </c>
      <c r="C12" s="38">
        <v>56</v>
      </c>
      <c r="D12" s="39" t="s">
        <v>208</v>
      </c>
      <c r="E12" s="40">
        <v>46458</v>
      </c>
      <c r="F12" s="40">
        <v>46471</v>
      </c>
      <c r="G12" s="38" t="s">
        <v>48</v>
      </c>
      <c r="H12" s="37"/>
      <c r="I12" s="39" t="s">
        <v>50</v>
      </c>
      <c r="J12" s="13" t="s">
        <v>64</v>
      </c>
      <c r="K12" s="13" t="s">
        <v>64</v>
      </c>
      <c r="L12" s="13" t="s">
        <v>64</v>
      </c>
      <c r="M12" s="11" t="s">
        <v>44</v>
      </c>
      <c r="N12" s="11" t="s">
        <v>44</v>
      </c>
      <c r="O12" s="11" t="s">
        <v>44</v>
      </c>
      <c r="P12" s="11" t="s">
        <v>38</v>
      </c>
      <c r="Q12" s="11" t="s">
        <v>38</v>
      </c>
      <c r="R12" s="7"/>
      <c r="S12" s="10" t="s">
        <v>34</v>
      </c>
      <c r="T12" s="7"/>
      <c r="U12" s="1"/>
      <c r="V12" s="1"/>
      <c r="W12" s="1"/>
      <c r="X12" s="1"/>
      <c r="Y12" s="7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7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7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7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7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</row>
    <row r="13" spans="1:146" ht="36" customHeight="1">
      <c r="A13" s="36" t="s">
        <v>131</v>
      </c>
      <c r="B13" s="37" t="s">
        <v>132</v>
      </c>
      <c r="C13" s="38">
        <v>76</v>
      </c>
      <c r="D13" s="39" t="s">
        <v>206</v>
      </c>
      <c r="E13" s="40">
        <v>46471</v>
      </c>
      <c r="F13" s="40">
        <v>46490</v>
      </c>
      <c r="G13" s="38" t="s">
        <v>48</v>
      </c>
      <c r="H13" s="37"/>
      <c r="I13" s="39" t="s">
        <v>33</v>
      </c>
      <c r="J13" s="1"/>
      <c r="K13" s="1"/>
      <c r="L13" s="1"/>
      <c r="M13" s="1"/>
      <c r="N13" s="1"/>
      <c r="O13" s="1"/>
      <c r="P13" s="1"/>
      <c r="Q13" s="1"/>
      <c r="R13" s="7"/>
      <c r="S13" s="13" t="s">
        <v>64</v>
      </c>
      <c r="T13" s="7"/>
      <c r="U13" s="13" t="s">
        <v>64</v>
      </c>
      <c r="V13" s="11" t="s">
        <v>44</v>
      </c>
      <c r="W13" s="11" t="s">
        <v>44</v>
      </c>
      <c r="X13" s="11" t="s">
        <v>44</v>
      </c>
      <c r="Y13" s="7"/>
      <c r="Z13" s="11" t="s">
        <v>44</v>
      </c>
      <c r="AA13" s="11" t="s">
        <v>44</v>
      </c>
      <c r="AB13" s="11" t="s">
        <v>44</v>
      </c>
      <c r="AC13" s="11" t="s">
        <v>38</v>
      </c>
      <c r="AD13" s="11" t="s">
        <v>38</v>
      </c>
      <c r="AE13" s="10" t="s">
        <v>34</v>
      </c>
      <c r="AF13" s="10" t="s">
        <v>34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7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7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7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7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</row>
    <row r="14" spans="1:146" ht="48" customHeight="1">
      <c r="A14" s="36" t="s">
        <v>133</v>
      </c>
      <c r="B14" s="37" t="s">
        <v>134</v>
      </c>
      <c r="C14" s="38">
        <v>70</v>
      </c>
      <c r="D14" s="39" t="s">
        <v>209</v>
      </c>
      <c r="E14" s="40">
        <v>46489</v>
      </c>
      <c r="F14" s="40">
        <v>46503</v>
      </c>
      <c r="G14" s="38" t="s">
        <v>48</v>
      </c>
      <c r="H14" s="37"/>
      <c r="I14" s="39" t="s">
        <v>33</v>
      </c>
      <c r="J14" s="1"/>
      <c r="K14" s="1"/>
      <c r="L14" s="1"/>
      <c r="M14" s="1"/>
      <c r="N14" s="1"/>
      <c r="O14" s="1"/>
      <c r="P14" s="1"/>
      <c r="Q14" s="1"/>
      <c r="R14" s="7"/>
      <c r="S14" s="1"/>
      <c r="T14" s="7"/>
      <c r="U14" s="1"/>
      <c r="V14" s="1"/>
      <c r="W14" s="1"/>
      <c r="X14" s="1"/>
      <c r="Y14" s="7"/>
      <c r="Z14" s="1"/>
      <c r="AA14" s="1"/>
      <c r="AB14" s="1"/>
      <c r="AC14" s="1"/>
      <c r="AD14" s="1"/>
      <c r="AE14" s="13" t="s">
        <v>64</v>
      </c>
      <c r="AF14" s="13" t="s">
        <v>64</v>
      </c>
      <c r="AG14" s="13" t="s">
        <v>64</v>
      </c>
      <c r="AH14" s="11" t="s">
        <v>44</v>
      </c>
      <c r="AI14" s="11" t="s">
        <v>44</v>
      </c>
      <c r="AJ14" s="11" t="s">
        <v>44</v>
      </c>
      <c r="AK14" s="11" t="s">
        <v>44</v>
      </c>
      <c r="AL14" s="11" t="s">
        <v>38</v>
      </c>
      <c r="AM14" s="11" t="s">
        <v>38</v>
      </c>
      <c r="AN14" s="10" t="s">
        <v>34</v>
      </c>
      <c r="AO14" s="10" t="s">
        <v>34</v>
      </c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7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7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7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7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</row>
    <row r="15" spans="1:146" ht="36" customHeight="1">
      <c r="A15" s="36" t="s">
        <v>135</v>
      </c>
      <c r="B15" s="37" t="s">
        <v>136</v>
      </c>
      <c r="C15" s="38">
        <v>70</v>
      </c>
      <c r="D15" s="39" t="s">
        <v>210</v>
      </c>
      <c r="E15" s="40">
        <v>46500</v>
      </c>
      <c r="F15" s="40">
        <v>46514</v>
      </c>
      <c r="G15" s="38" t="s">
        <v>48</v>
      </c>
      <c r="H15" s="37"/>
      <c r="I15" s="39" t="s">
        <v>33</v>
      </c>
      <c r="J15" s="1"/>
      <c r="K15" s="1"/>
      <c r="L15" s="1"/>
      <c r="M15" s="1"/>
      <c r="N15" s="1"/>
      <c r="O15" s="1"/>
      <c r="P15" s="1"/>
      <c r="Q15" s="1"/>
      <c r="R15" s="7"/>
      <c r="S15" s="1"/>
      <c r="T15" s="7"/>
      <c r="U15" s="1"/>
      <c r="V15" s="1"/>
      <c r="W15" s="1"/>
      <c r="X15" s="1"/>
      <c r="Y15" s="7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3" t="s">
        <v>64</v>
      </c>
      <c r="AO15" s="13" t="s">
        <v>64</v>
      </c>
      <c r="AP15" s="11" t="s">
        <v>44</v>
      </c>
      <c r="AQ15" s="11" t="s">
        <v>44</v>
      </c>
      <c r="AR15" s="11" t="s">
        <v>44</v>
      </c>
      <c r="AS15" s="11" t="s">
        <v>44</v>
      </c>
      <c r="AT15" s="11" t="s">
        <v>38</v>
      </c>
      <c r="AU15" s="11" t="s">
        <v>38</v>
      </c>
      <c r="AV15" s="11" t="s">
        <v>38</v>
      </c>
      <c r="AW15" s="10" t="s">
        <v>34</v>
      </c>
      <c r="AX15" s="10" t="s">
        <v>34</v>
      </c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7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7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7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7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</row>
    <row r="16" spans="1:146" ht="36" customHeight="1">
      <c r="A16" s="36" t="s">
        <v>137</v>
      </c>
      <c r="B16" s="37" t="s">
        <v>138</v>
      </c>
      <c r="C16" s="38">
        <v>58</v>
      </c>
      <c r="D16" s="39" t="s">
        <v>183</v>
      </c>
      <c r="E16" s="40">
        <v>46513</v>
      </c>
      <c r="F16" s="40">
        <v>46525</v>
      </c>
      <c r="G16" s="38" t="s">
        <v>48</v>
      </c>
      <c r="H16" s="37"/>
      <c r="I16" s="39" t="s">
        <v>33</v>
      </c>
      <c r="J16" s="1"/>
      <c r="K16" s="1"/>
      <c r="L16" s="1"/>
      <c r="M16" s="1"/>
      <c r="N16" s="1"/>
      <c r="O16" s="1"/>
      <c r="P16" s="1"/>
      <c r="Q16" s="1"/>
      <c r="R16" s="7"/>
      <c r="S16" s="1"/>
      <c r="T16" s="7"/>
      <c r="U16" s="1"/>
      <c r="V16" s="1"/>
      <c r="W16" s="1"/>
      <c r="X16" s="1"/>
      <c r="Y16" s="7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3" t="s">
        <v>64</v>
      </c>
      <c r="AX16" s="11" t="s">
        <v>44</v>
      </c>
      <c r="AY16" s="11" t="s">
        <v>44</v>
      </c>
      <c r="AZ16" s="11" t="s">
        <v>44</v>
      </c>
      <c r="BA16" s="11" t="s">
        <v>44</v>
      </c>
      <c r="BB16" s="11" t="s">
        <v>38</v>
      </c>
      <c r="BC16" s="11" t="s">
        <v>38</v>
      </c>
      <c r="BD16" s="10" t="s">
        <v>34</v>
      </c>
      <c r="BE16" s="10" t="s">
        <v>34</v>
      </c>
      <c r="BF16" s="1"/>
      <c r="BG16" s="1"/>
      <c r="BH16" s="1"/>
      <c r="BI16" s="1"/>
      <c r="BJ16" s="7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7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7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7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</row>
    <row r="17" spans="1:146" ht="36" customHeight="1">
      <c r="A17" s="36" t="s">
        <v>139</v>
      </c>
      <c r="B17" s="37" t="s">
        <v>140</v>
      </c>
      <c r="C17" s="38">
        <v>58</v>
      </c>
      <c r="D17" s="39" t="s">
        <v>211</v>
      </c>
      <c r="E17" s="40">
        <v>46524</v>
      </c>
      <c r="F17" s="40">
        <v>46535</v>
      </c>
      <c r="G17" s="38" t="s">
        <v>48</v>
      </c>
      <c r="H17" s="37"/>
      <c r="I17" s="39" t="s">
        <v>33</v>
      </c>
      <c r="J17" s="1"/>
      <c r="K17" s="1"/>
      <c r="L17" s="1"/>
      <c r="M17" s="1"/>
      <c r="N17" s="1"/>
      <c r="O17" s="1"/>
      <c r="P17" s="1"/>
      <c r="Q17" s="1"/>
      <c r="R17" s="7"/>
      <c r="S17" s="1"/>
      <c r="T17" s="7"/>
      <c r="U17" s="1"/>
      <c r="V17" s="1"/>
      <c r="W17" s="1"/>
      <c r="X17" s="1"/>
      <c r="Y17" s="7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3" t="s">
        <v>64</v>
      </c>
      <c r="BE17" s="13" t="s">
        <v>64</v>
      </c>
      <c r="BF17" s="11" t="s">
        <v>44</v>
      </c>
      <c r="BG17" s="11" t="s">
        <v>44</v>
      </c>
      <c r="BH17" s="11" t="s">
        <v>44</v>
      </c>
      <c r="BI17" s="11" t="s">
        <v>38</v>
      </c>
      <c r="BJ17" s="7"/>
      <c r="BK17" s="11" t="s">
        <v>38</v>
      </c>
      <c r="BL17" s="10" t="s">
        <v>34</v>
      </c>
      <c r="BM17" s="10" t="s">
        <v>34</v>
      </c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7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7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7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</row>
    <row r="18" spans="1:146" ht="48" customHeight="1">
      <c r="A18" s="36" t="s">
        <v>141</v>
      </c>
      <c r="B18" s="37" t="s">
        <v>142</v>
      </c>
      <c r="C18" s="38"/>
      <c r="D18" s="39" t="s">
        <v>186</v>
      </c>
      <c r="E18" s="40"/>
      <c r="F18" s="40"/>
      <c r="G18" s="38" t="s">
        <v>187</v>
      </c>
      <c r="H18" s="37" t="s">
        <v>188</v>
      </c>
      <c r="I18" s="39" t="s">
        <v>33</v>
      </c>
      <c r="J18" s="1"/>
      <c r="K18" s="1"/>
      <c r="L18" s="1"/>
      <c r="M18" s="1"/>
      <c r="N18" s="1"/>
      <c r="O18" s="1"/>
      <c r="P18" s="1"/>
      <c r="Q18" s="1"/>
      <c r="R18" s="7"/>
      <c r="S18" s="1"/>
      <c r="T18" s="7"/>
      <c r="U18" s="1"/>
      <c r="V18" s="1"/>
      <c r="W18" s="1"/>
      <c r="X18" s="1"/>
      <c r="Y18" s="7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7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7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7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7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</row>
    <row r="19" spans="1:146" ht="36" customHeight="1">
      <c r="A19" s="36" t="s">
        <v>143</v>
      </c>
      <c r="B19" s="37" t="s">
        <v>144</v>
      </c>
      <c r="C19" s="38">
        <v>52</v>
      </c>
      <c r="D19" s="39" t="s">
        <v>195</v>
      </c>
      <c r="E19" s="40">
        <v>46534</v>
      </c>
      <c r="F19" s="40">
        <v>46545</v>
      </c>
      <c r="G19" s="38" t="s">
        <v>48</v>
      </c>
      <c r="H19" s="37"/>
      <c r="I19" s="39" t="s">
        <v>33</v>
      </c>
      <c r="J19" s="1"/>
      <c r="K19" s="1"/>
      <c r="L19" s="1"/>
      <c r="M19" s="1"/>
      <c r="N19" s="1"/>
      <c r="O19" s="1"/>
      <c r="P19" s="1"/>
      <c r="Q19" s="1"/>
      <c r="R19" s="7"/>
      <c r="S19" s="1"/>
      <c r="T19" s="7"/>
      <c r="U19" s="1"/>
      <c r="V19" s="1"/>
      <c r="W19" s="1"/>
      <c r="X19" s="1"/>
      <c r="Y19" s="7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7"/>
      <c r="BK19" s="1"/>
      <c r="BL19" s="13" t="s">
        <v>64</v>
      </c>
      <c r="BM19" s="11" t="s">
        <v>44</v>
      </c>
      <c r="BN19" s="11" t="s">
        <v>44</v>
      </c>
      <c r="BO19" s="11" t="s">
        <v>44</v>
      </c>
      <c r="BP19" s="11" t="s">
        <v>38</v>
      </c>
      <c r="BQ19" s="11" t="s">
        <v>38</v>
      </c>
      <c r="BR19" s="10" t="s">
        <v>34</v>
      </c>
      <c r="BS19" s="10" t="s">
        <v>34</v>
      </c>
      <c r="BT19" s="1"/>
      <c r="BU19" s="1"/>
      <c r="BV19" s="1"/>
      <c r="BW19" s="1"/>
      <c r="BX19" s="1"/>
      <c r="BY19" s="1"/>
      <c r="BZ19" s="1"/>
      <c r="CA19" s="1"/>
      <c r="CB19" s="1"/>
      <c r="CC19" s="7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7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7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</row>
    <row r="20" spans="1:146" ht="36" customHeight="1">
      <c r="A20" s="36" t="s">
        <v>145</v>
      </c>
      <c r="B20" s="37" t="s">
        <v>146</v>
      </c>
      <c r="C20" s="38">
        <v>62</v>
      </c>
      <c r="D20" s="39" t="s">
        <v>212</v>
      </c>
      <c r="E20" s="40">
        <v>46542</v>
      </c>
      <c r="F20" s="40">
        <v>46554</v>
      </c>
      <c r="G20" s="38" t="s">
        <v>48</v>
      </c>
      <c r="H20" s="37"/>
      <c r="I20" s="39" t="s">
        <v>33</v>
      </c>
      <c r="J20" s="1"/>
      <c r="K20" s="1"/>
      <c r="L20" s="1"/>
      <c r="M20" s="1"/>
      <c r="N20" s="1"/>
      <c r="O20" s="1"/>
      <c r="P20" s="1"/>
      <c r="Q20" s="1"/>
      <c r="R20" s="7"/>
      <c r="S20" s="1"/>
      <c r="T20" s="7"/>
      <c r="U20" s="1"/>
      <c r="V20" s="1"/>
      <c r="W20" s="1"/>
      <c r="X20" s="1"/>
      <c r="Y20" s="7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7"/>
      <c r="BK20" s="1"/>
      <c r="BL20" s="1"/>
      <c r="BM20" s="1"/>
      <c r="BN20" s="1"/>
      <c r="BO20" s="1"/>
      <c r="BP20" s="1"/>
      <c r="BQ20" s="1"/>
      <c r="BR20" s="13" t="s">
        <v>64</v>
      </c>
      <c r="BS20" s="11" t="s">
        <v>44</v>
      </c>
      <c r="BT20" s="11" t="s">
        <v>44</v>
      </c>
      <c r="BU20" s="11" t="s">
        <v>38</v>
      </c>
      <c r="BV20" s="11" t="s">
        <v>38</v>
      </c>
      <c r="BW20" s="10" t="s">
        <v>34</v>
      </c>
      <c r="BX20" s="10" t="s">
        <v>34</v>
      </c>
      <c r="BY20" s="10" t="s">
        <v>34</v>
      </c>
      <c r="BZ20" s="10" t="s">
        <v>34</v>
      </c>
      <c r="CA20" s="1"/>
      <c r="CB20" s="1"/>
      <c r="CC20" s="7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7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7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</row>
    <row r="21" spans="1:146" ht="36" customHeight="1">
      <c r="A21" s="36" t="s">
        <v>189</v>
      </c>
      <c r="B21" s="37" t="s">
        <v>95</v>
      </c>
      <c r="C21" s="38">
        <v>6</v>
      </c>
      <c r="D21" s="39" t="s">
        <v>213</v>
      </c>
      <c r="E21" s="40">
        <v>46549</v>
      </c>
      <c r="F21" s="40">
        <v>46549</v>
      </c>
      <c r="G21" s="38" t="s">
        <v>48</v>
      </c>
      <c r="H21" s="37"/>
      <c r="I21" s="39" t="s">
        <v>33</v>
      </c>
      <c r="J21" s="1"/>
      <c r="K21" s="1"/>
      <c r="L21" s="1"/>
      <c r="M21" s="1"/>
      <c r="N21" s="1"/>
      <c r="O21" s="1"/>
      <c r="P21" s="1"/>
      <c r="Q21" s="1"/>
      <c r="R21" s="7"/>
      <c r="S21" s="1"/>
      <c r="T21" s="7"/>
      <c r="U21" s="1"/>
      <c r="V21" s="1"/>
      <c r="W21" s="1"/>
      <c r="X21" s="1"/>
      <c r="Y21" s="7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7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3" t="s">
        <v>64</v>
      </c>
      <c r="BX21" s="1"/>
      <c r="BY21" s="1"/>
      <c r="BZ21" s="1"/>
      <c r="CA21" s="1"/>
      <c r="CB21" s="1"/>
      <c r="CC21" s="7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7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7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</row>
    <row r="22" spans="1:146" ht="36" customHeight="1">
      <c r="A22" s="36" t="s">
        <v>147</v>
      </c>
      <c r="B22" s="37" t="s">
        <v>52</v>
      </c>
      <c r="C22" s="38">
        <v>0</v>
      </c>
      <c r="D22" s="39" t="s">
        <v>53</v>
      </c>
      <c r="E22" s="40">
        <v>46554</v>
      </c>
      <c r="F22" s="40">
        <v>46554</v>
      </c>
      <c r="G22" s="38" t="s">
        <v>48</v>
      </c>
      <c r="H22" s="37" t="s">
        <v>54</v>
      </c>
      <c r="I22" s="39" t="s">
        <v>33</v>
      </c>
      <c r="J22" s="1"/>
      <c r="K22" s="1"/>
      <c r="L22" s="1"/>
      <c r="M22" s="1"/>
      <c r="N22" s="1"/>
      <c r="O22" s="1"/>
      <c r="P22" s="1"/>
      <c r="Q22" s="1"/>
      <c r="R22" s="7"/>
      <c r="S22" s="1"/>
      <c r="T22" s="7"/>
      <c r="U22" s="1"/>
      <c r="V22" s="1"/>
      <c r="W22" s="1"/>
      <c r="X22" s="1"/>
      <c r="Y22" s="7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7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7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7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7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</row>
    <row r="23" spans="1:146" ht="36" customHeight="1">
      <c r="A23" s="36" t="s">
        <v>148</v>
      </c>
      <c r="B23" s="37" t="s">
        <v>56</v>
      </c>
      <c r="C23" s="38">
        <v>48</v>
      </c>
      <c r="D23" s="39" t="s">
        <v>149</v>
      </c>
      <c r="E23" s="40">
        <v>46555</v>
      </c>
      <c r="F23" s="40">
        <v>46563</v>
      </c>
      <c r="G23" s="38" t="s">
        <v>48</v>
      </c>
      <c r="H23" s="37" t="s">
        <v>58</v>
      </c>
      <c r="I23" s="39" t="s">
        <v>33</v>
      </c>
      <c r="J23" s="1"/>
      <c r="K23" s="1"/>
      <c r="L23" s="1"/>
      <c r="M23" s="1"/>
      <c r="N23" s="1"/>
      <c r="O23" s="1"/>
      <c r="P23" s="1"/>
      <c r="Q23" s="1"/>
      <c r="R23" s="7"/>
      <c r="S23" s="1"/>
      <c r="T23" s="7"/>
      <c r="U23" s="1"/>
      <c r="V23" s="1"/>
      <c r="W23" s="1"/>
      <c r="X23" s="1"/>
      <c r="Y23" s="7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7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4" t="s">
        <v>59</v>
      </c>
      <c r="CB23" s="14" t="s">
        <v>59</v>
      </c>
      <c r="CC23" s="7"/>
      <c r="CD23" s="14" t="s">
        <v>59</v>
      </c>
      <c r="CE23" s="14" t="s">
        <v>59</v>
      </c>
      <c r="CF23" s="14" t="s">
        <v>59</v>
      </c>
      <c r="CG23" s="14" t="s">
        <v>59</v>
      </c>
      <c r="CH23" s="1"/>
      <c r="CI23" s="1"/>
      <c r="CJ23" s="1"/>
      <c r="CK23" s="1"/>
      <c r="CL23" s="1"/>
      <c r="CM23" s="1"/>
      <c r="CN23" s="1"/>
      <c r="CO23" s="1"/>
      <c r="CP23" s="1"/>
      <c r="CQ23" s="7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7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</row>
    <row r="24" spans="1:146" ht="26.15" customHeight="1">
      <c r="A24" s="33" t="s">
        <v>60</v>
      </c>
      <c r="B24" s="34"/>
      <c r="C24" s="56">
        <f>SUM(C12:C23)</f>
        <v>556</v>
      </c>
      <c r="D24" s="34"/>
      <c r="E24" s="33"/>
      <c r="F24" s="43">
        <v>46563</v>
      </c>
      <c r="G24" s="33"/>
      <c r="H24" s="34"/>
      <c r="I24" s="20"/>
      <c r="J24" s="35"/>
      <c r="K24" s="35"/>
      <c r="L24" s="35"/>
      <c r="M24" s="35"/>
      <c r="N24" s="35"/>
      <c r="O24" s="35"/>
      <c r="P24" s="35"/>
      <c r="Q24" s="35"/>
      <c r="R24" s="7"/>
      <c r="S24" s="35"/>
      <c r="T24" s="7"/>
      <c r="U24" s="35"/>
      <c r="V24" s="35"/>
      <c r="W24" s="35"/>
      <c r="X24" s="35"/>
      <c r="Y24" s="7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7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7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7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7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</row>
    <row r="25" spans="1:146" ht="25" customHeight="1">
      <c r="A25" s="51" t="s">
        <v>150</v>
      </c>
      <c r="B25" s="52"/>
      <c r="C25" s="51"/>
      <c r="D25" s="51"/>
      <c r="E25" s="51"/>
      <c r="F25" s="51"/>
      <c r="G25" s="51"/>
      <c r="H25" s="52"/>
      <c r="I25" s="20"/>
      <c r="J25" s="35"/>
      <c r="K25" s="35"/>
      <c r="L25" s="35"/>
      <c r="M25" s="35"/>
      <c r="N25" s="35"/>
      <c r="O25" s="35"/>
      <c r="P25" s="35"/>
      <c r="Q25" s="35"/>
      <c r="R25" s="7"/>
      <c r="S25" s="35"/>
      <c r="T25" s="7"/>
      <c r="U25" s="35"/>
      <c r="V25" s="35"/>
      <c r="W25" s="35"/>
      <c r="X25" s="35"/>
      <c r="Y25" s="7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7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7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7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7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</row>
    <row r="26" spans="1:146" ht="36" customHeight="1">
      <c r="A26" s="36" t="s">
        <v>151</v>
      </c>
      <c r="B26" s="37" t="s">
        <v>152</v>
      </c>
      <c r="C26" s="38">
        <v>50</v>
      </c>
      <c r="D26" s="39" t="s">
        <v>214</v>
      </c>
      <c r="E26" s="40">
        <v>46566</v>
      </c>
      <c r="F26" s="40">
        <v>46575</v>
      </c>
      <c r="G26" s="38" t="s">
        <v>48</v>
      </c>
      <c r="H26" s="37"/>
      <c r="I26" s="39" t="s">
        <v>33</v>
      </c>
      <c r="J26" s="1"/>
      <c r="K26" s="1"/>
      <c r="L26" s="1"/>
      <c r="M26" s="1"/>
      <c r="N26" s="1"/>
      <c r="O26" s="1"/>
      <c r="P26" s="1"/>
      <c r="Q26" s="1"/>
      <c r="R26" s="7"/>
      <c r="S26" s="1"/>
      <c r="T26" s="7"/>
      <c r="U26" s="1"/>
      <c r="V26" s="1"/>
      <c r="W26" s="1"/>
      <c r="X26" s="1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7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7"/>
      <c r="CD26" s="1"/>
      <c r="CE26" s="1"/>
      <c r="CF26" s="1"/>
      <c r="CG26" s="1"/>
      <c r="CH26" s="13" t="s">
        <v>64</v>
      </c>
      <c r="CI26" s="13" t="s">
        <v>64</v>
      </c>
      <c r="CJ26" s="11" t="s">
        <v>44</v>
      </c>
      <c r="CK26" s="11" t="s">
        <v>44</v>
      </c>
      <c r="CL26" s="11" t="s">
        <v>44</v>
      </c>
      <c r="CM26" s="11" t="s">
        <v>38</v>
      </c>
      <c r="CN26" s="11" t="s">
        <v>38</v>
      </c>
      <c r="CO26" s="10" t="s">
        <v>34</v>
      </c>
      <c r="CP26" s="1"/>
      <c r="CQ26" s="7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7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</row>
    <row r="27" spans="1:146" ht="36" customHeight="1">
      <c r="A27" s="36" t="s">
        <v>153</v>
      </c>
      <c r="B27" s="37" t="s">
        <v>154</v>
      </c>
      <c r="C27" s="38">
        <v>82</v>
      </c>
      <c r="D27" s="39" t="s">
        <v>215</v>
      </c>
      <c r="E27" s="40">
        <v>46575</v>
      </c>
      <c r="F27" s="40">
        <v>46594</v>
      </c>
      <c r="G27" s="38" t="s">
        <v>48</v>
      </c>
      <c r="H27" s="37"/>
      <c r="I27" s="39" t="s">
        <v>33</v>
      </c>
      <c r="J27" s="1"/>
      <c r="K27" s="1"/>
      <c r="L27" s="1"/>
      <c r="M27" s="1"/>
      <c r="N27" s="1"/>
      <c r="O27" s="1"/>
      <c r="P27" s="1"/>
      <c r="Q27" s="1"/>
      <c r="R27" s="7"/>
      <c r="S27" s="1"/>
      <c r="T27" s="7"/>
      <c r="U27" s="1"/>
      <c r="V27" s="1"/>
      <c r="W27" s="1"/>
      <c r="X27" s="1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7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7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3" t="s">
        <v>64</v>
      </c>
      <c r="CP27" s="13" t="s">
        <v>64</v>
      </c>
      <c r="CQ27" s="7"/>
      <c r="CR27" s="11" t="s">
        <v>44</v>
      </c>
      <c r="CS27" s="11" t="s">
        <v>44</v>
      </c>
      <c r="CT27" s="11" t="s">
        <v>44</v>
      </c>
      <c r="CU27" s="11" t="s">
        <v>44</v>
      </c>
      <c r="CV27" s="11" t="s">
        <v>44</v>
      </c>
      <c r="CW27" s="11" t="s">
        <v>44</v>
      </c>
      <c r="CX27" s="11" t="s">
        <v>38</v>
      </c>
      <c r="CY27" s="11" t="s">
        <v>38</v>
      </c>
      <c r="CZ27" s="11" t="s">
        <v>38</v>
      </c>
      <c r="DA27" s="10" t="s">
        <v>34</v>
      </c>
      <c r="DB27" s="10" t="s">
        <v>34</v>
      </c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7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</row>
    <row r="28" spans="1:146" ht="36" customHeight="1">
      <c r="A28" s="36" t="s">
        <v>155</v>
      </c>
      <c r="B28" s="37" t="s">
        <v>156</v>
      </c>
      <c r="C28" s="38">
        <v>90</v>
      </c>
      <c r="D28" s="39" t="s">
        <v>216</v>
      </c>
      <c r="E28" s="40">
        <v>46591</v>
      </c>
      <c r="F28" s="40">
        <v>46610</v>
      </c>
      <c r="G28" s="38" t="s">
        <v>48</v>
      </c>
      <c r="H28" s="37"/>
      <c r="I28" s="39" t="s">
        <v>33</v>
      </c>
      <c r="J28" s="1"/>
      <c r="K28" s="1"/>
      <c r="L28" s="1"/>
      <c r="M28" s="1"/>
      <c r="N28" s="1"/>
      <c r="O28" s="1"/>
      <c r="P28" s="1"/>
      <c r="Q28" s="1"/>
      <c r="R28" s="7"/>
      <c r="S28" s="1"/>
      <c r="T28" s="7"/>
      <c r="U28" s="1"/>
      <c r="V28" s="1"/>
      <c r="W28" s="1"/>
      <c r="X28" s="1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7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7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7"/>
      <c r="CR28" s="1"/>
      <c r="CS28" s="1"/>
      <c r="CT28" s="1"/>
      <c r="CU28" s="1"/>
      <c r="CV28" s="1"/>
      <c r="CW28" s="1"/>
      <c r="CX28" s="1"/>
      <c r="CY28" s="1"/>
      <c r="CZ28" s="1"/>
      <c r="DA28" s="13" t="s">
        <v>64</v>
      </c>
      <c r="DB28" s="13" t="s">
        <v>64</v>
      </c>
      <c r="DC28" s="11" t="s">
        <v>44</v>
      </c>
      <c r="DD28" s="11" t="s">
        <v>44</v>
      </c>
      <c r="DE28" s="11" t="s">
        <v>44</v>
      </c>
      <c r="DF28" s="11" t="s">
        <v>44</v>
      </c>
      <c r="DG28" s="11" t="s">
        <v>44</v>
      </c>
      <c r="DH28" s="11" t="s">
        <v>44</v>
      </c>
      <c r="DI28" s="11" t="s">
        <v>44</v>
      </c>
      <c r="DJ28" s="11" t="s">
        <v>38</v>
      </c>
      <c r="DK28" s="11" t="s">
        <v>38</v>
      </c>
      <c r="DL28" s="10" t="s">
        <v>34</v>
      </c>
      <c r="DM28" s="10" t="s">
        <v>34</v>
      </c>
      <c r="DN28" s="10" t="s">
        <v>34</v>
      </c>
      <c r="DO28" s="1"/>
      <c r="DP28" s="1"/>
      <c r="DQ28" s="7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</row>
    <row r="29" spans="1:146" ht="36" customHeight="1">
      <c r="A29" s="36" t="s">
        <v>157</v>
      </c>
      <c r="B29" s="37" t="s">
        <v>158</v>
      </c>
      <c r="C29" s="38">
        <v>58</v>
      </c>
      <c r="D29" s="39" t="s">
        <v>183</v>
      </c>
      <c r="E29" s="40">
        <v>46608</v>
      </c>
      <c r="F29" s="40">
        <v>46619</v>
      </c>
      <c r="G29" s="38" t="s">
        <v>48</v>
      </c>
      <c r="H29" s="37"/>
      <c r="I29" s="39" t="s">
        <v>33</v>
      </c>
      <c r="J29" s="1"/>
      <c r="K29" s="1"/>
      <c r="L29" s="1"/>
      <c r="M29" s="1"/>
      <c r="N29" s="1"/>
      <c r="O29" s="1"/>
      <c r="P29" s="1"/>
      <c r="Q29" s="1"/>
      <c r="R29" s="7"/>
      <c r="S29" s="1"/>
      <c r="T29" s="7"/>
      <c r="U29" s="1"/>
      <c r="V29" s="1"/>
      <c r="W29" s="1"/>
      <c r="X29" s="1"/>
      <c r="Y29" s="7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7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7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7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3" t="s">
        <v>64</v>
      </c>
      <c r="DM29" s="11" t="s">
        <v>44</v>
      </c>
      <c r="DN29" s="11" t="s">
        <v>44</v>
      </c>
      <c r="DO29" s="11" t="s">
        <v>44</v>
      </c>
      <c r="DP29" s="11" t="s">
        <v>44</v>
      </c>
      <c r="DQ29" s="7"/>
      <c r="DR29" s="11" t="s">
        <v>38</v>
      </c>
      <c r="DS29" s="11" t="s">
        <v>38</v>
      </c>
      <c r="DT29" s="10" t="s">
        <v>34</v>
      </c>
      <c r="DU29" s="10" t="s">
        <v>34</v>
      </c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</row>
    <row r="30" spans="1:146" ht="36" customHeight="1">
      <c r="A30" s="36" t="s">
        <v>159</v>
      </c>
      <c r="B30" s="37" t="s">
        <v>160</v>
      </c>
      <c r="C30" s="38">
        <v>40</v>
      </c>
      <c r="D30" s="39" t="s">
        <v>217</v>
      </c>
      <c r="E30" s="40">
        <v>46618</v>
      </c>
      <c r="F30" s="40">
        <v>46625</v>
      </c>
      <c r="G30" s="38" t="s">
        <v>48</v>
      </c>
      <c r="H30" s="37"/>
      <c r="I30" s="39" t="s">
        <v>161</v>
      </c>
      <c r="J30" s="1"/>
      <c r="K30" s="1"/>
      <c r="L30" s="1"/>
      <c r="M30" s="1"/>
      <c r="N30" s="1"/>
      <c r="O30" s="1"/>
      <c r="P30" s="1"/>
      <c r="Q30" s="1"/>
      <c r="R30" s="7"/>
      <c r="S30" s="1"/>
      <c r="T30" s="7"/>
      <c r="U30" s="1"/>
      <c r="V30" s="1"/>
      <c r="W30" s="1"/>
      <c r="X30" s="1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7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7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7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7"/>
      <c r="DR30" s="1"/>
      <c r="DS30" s="1"/>
      <c r="DT30" s="13" t="s">
        <v>64</v>
      </c>
      <c r="DU30" s="11" t="s">
        <v>44</v>
      </c>
      <c r="DV30" s="11" t="s">
        <v>44</v>
      </c>
      <c r="DW30" s="11" t="s">
        <v>38</v>
      </c>
      <c r="DX30" s="10" t="s">
        <v>34</v>
      </c>
      <c r="DY30" s="10" t="s">
        <v>34</v>
      </c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</row>
    <row r="31" spans="1:146" ht="36" customHeight="1">
      <c r="A31" s="36" t="s">
        <v>190</v>
      </c>
      <c r="B31" s="37" t="s">
        <v>95</v>
      </c>
      <c r="C31" s="38">
        <v>12</v>
      </c>
      <c r="D31" s="39" t="s">
        <v>182</v>
      </c>
      <c r="E31" s="40">
        <v>46624</v>
      </c>
      <c r="F31" s="40">
        <v>46625</v>
      </c>
      <c r="G31" s="38" t="s">
        <v>48</v>
      </c>
      <c r="H31" s="37"/>
      <c r="I31" s="39" t="s">
        <v>33</v>
      </c>
      <c r="J31" s="1"/>
      <c r="K31" s="1"/>
      <c r="L31" s="1"/>
      <c r="M31" s="1"/>
      <c r="N31" s="1"/>
      <c r="O31" s="1"/>
      <c r="P31" s="1"/>
      <c r="Q31" s="1"/>
      <c r="R31" s="7"/>
      <c r="S31" s="1"/>
      <c r="T31" s="7"/>
      <c r="U31" s="1"/>
      <c r="V31" s="1"/>
      <c r="W31" s="1"/>
      <c r="X31" s="1"/>
      <c r="Y31" s="7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7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7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7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7"/>
      <c r="DR31" s="1"/>
      <c r="DS31" s="1"/>
      <c r="DT31" s="1"/>
      <c r="DU31" s="1"/>
      <c r="DV31" s="1"/>
      <c r="DW31" s="1"/>
      <c r="DX31" s="13" t="s">
        <v>64</v>
      </c>
      <c r="DY31" s="13" t="s">
        <v>64</v>
      </c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</row>
    <row r="32" spans="1:146" ht="36" customHeight="1">
      <c r="A32" s="36" t="s">
        <v>162</v>
      </c>
      <c r="B32" s="37" t="s">
        <v>52</v>
      </c>
      <c r="C32" s="38">
        <v>0</v>
      </c>
      <c r="D32" s="39" t="s">
        <v>53</v>
      </c>
      <c r="E32" s="40">
        <v>46625</v>
      </c>
      <c r="F32" s="40">
        <v>46625</v>
      </c>
      <c r="G32" s="38" t="s">
        <v>48</v>
      </c>
      <c r="H32" s="37" t="s">
        <v>54</v>
      </c>
      <c r="I32" s="39" t="s">
        <v>33</v>
      </c>
      <c r="J32" s="1"/>
      <c r="K32" s="1"/>
      <c r="L32" s="1"/>
      <c r="M32" s="1"/>
      <c r="N32" s="1"/>
      <c r="O32" s="1"/>
      <c r="P32" s="1"/>
      <c r="Q32" s="1"/>
      <c r="R32" s="7"/>
      <c r="S32" s="1"/>
      <c r="T32" s="7"/>
      <c r="U32" s="1"/>
      <c r="V32" s="1"/>
      <c r="W32" s="1"/>
      <c r="X32" s="1"/>
      <c r="Y32" s="7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7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7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7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7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</row>
    <row r="33" spans="1:146" ht="36" customHeight="1">
      <c r="A33" s="36" t="s">
        <v>163</v>
      </c>
      <c r="B33" s="37" t="s">
        <v>56</v>
      </c>
      <c r="C33" s="38">
        <v>48</v>
      </c>
      <c r="D33" s="39" t="s">
        <v>149</v>
      </c>
      <c r="E33" s="40">
        <v>46626</v>
      </c>
      <c r="F33" s="40">
        <v>46633</v>
      </c>
      <c r="G33" s="38" t="s">
        <v>48</v>
      </c>
      <c r="H33" s="37" t="s">
        <v>58</v>
      </c>
      <c r="I33" s="39" t="s">
        <v>33</v>
      </c>
      <c r="J33" s="1"/>
      <c r="K33" s="1"/>
      <c r="L33" s="1"/>
      <c r="M33" s="1"/>
      <c r="N33" s="1"/>
      <c r="O33" s="1"/>
      <c r="P33" s="1"/>
      <c r="Q33" s="1"/>
      <c r="R33" s="7"/>
      <c r="S33" s="1"/>
      <c r="T33" s="7"/>
      <c r="U33" s="1"/>
      <c r="V33" s="1"/>
      <c r="W33" s="1"/>
      <c r="X33" s="1"/>
      <c r="Y33" s="7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7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7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7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7"/>
      <c r="DR33" s="1"/>
      <c r="DS33" s="1"/>
      <c r="DT33" s="1"/>
      <c r="DU33" s="1"/>
      <c r="DV33" s="1"/>
      <c r="DW33" s="1"/>
      <c r="DX33" s="1"/>
      <c r="DY33" s="1"/>
      <c r="DZ33" s="14" t="s">
        <v>59</v>
      </c>
      <c r="EA33" s="14" t="s">
        <v>59</v>
      </c>
      <c r="EB33" s="14" t="s">
        <v>59</v>
      </c>
      <c r="EC33" s="14" t="s">
        <v>59</v>
      </c>
      <c r="ED33" s="14" t="s">
        <v>59</v>
      </c>
      <c r="EE33" s="14" t="s">
        <v>59</v>
      </c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</row>
    <row r="34" spans="1:146" ht="26.15" customHeight="1">
      <c r="A34" s="33" t="s">
        <v>60</v>
      </c>
      <c r="B34" s="34"/>
      <c r="C34" s="56">
        <f>SUM(C26:C33)</f>
        <v>380</v>
      </c>
      <c r="D34" s="34"/>
      <c r="E34" s="33"/>
      <c r="F34" s="43">
        <v>46633</v>
      </c>
      <c r="G34" s="33"/>
      <c r="H34" s="34"/>
      <c r="I34" s="20"/>
      <c r="J34" s="35"/>
      <c r="K34" s="35"/>
      <c r="L34" s="35"/>
      <c r="M34" s="35"/>
      <c r="N34" s="35"/>
      <c r="O34" s="35"/>
      <c r="P34" s="35"/>
      <c r="Q34" s="35"/>
      <c r="R34" s="7"/>
      <c r="S34" s="35"/>
      <c r="T34" s="7"/>
      <c r="U34" s="35"/>
      <c r="V34" s="35"/>
      <c r="W34" s="35"/>
      <c r="X34" s="35"/>
      <c r="Y34" s="7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7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7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7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7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</row>
    <row r="35" spans="1:146" ht="28" customHeight="1">
      <c r="A35" s="44" t="s">
        <v>118</v>
      </c>
      <c r="B35" s="45"/>
      <c r="C35" s="57">
        <f>SUM(C24,C34)</f>
        <v>936</v>
      </c>
      <c r="D35" s="45"/>
      <c r="E35" s="44"/>
      <c r="F35" s="46">
        <v>46633</v>
      </c>
      <c r="G35" s="44"/>
      <c r="H35" s="45"/>
      <c r="I35" s="18"/>
      <c r="J35" s="47"/>
      <c r="K35" s="47"/>
      <c r="L35" s="47"/>
      <c r="M35" s="47"/>
      <c r="N35" s="47"/>
      <c r="O35" s="47"/>
      <c r="P35" s="47"/>
      <c r="Q35" s="47"/>
      <c r="R35" s="7"/>
      <c r="S35" s="47"/>
      <c r="T35" s="7"/>
      <c r="U35" s="47"/>
      <c r="V35" s="47"/>
      <c r="W35" s="47"/>
      <c r="X35" s="47"/>
      <c r="Y35" s="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  <c r="BW35" s="47"/>
      <c r="BX35" s="47"/>
      <c r="BY35" s="47"/>
      <c r="BZ35" s="47"/>
      <c r="CA35" s="47"/>
      <c r="CB35" s="47"/>
      <c r="CC35" s="7"/>
      <c r="CD35" s="47"/>
      <c r="CE35" s="47"/>
      <c r="CF35" s="47"/>
      <c r="CG35" s="47"/>
      <c r="CH35" s="47"/>
      <c r="CI35" s="47"/>
      <c r="CJ35" s="47"/>
      <c r="CK35" s="47"/>
      <c r="CL35" s="47"/>
      <c r="CM35" s="47"/>
      <c r="CN35" s="47"/>
      <c r="CO35" s="47"/>
      <c r="CP35" s="47"/>
      <c r="CQ35" s="7"/>
      <c r="CR35" s="47"/>
      <c r="CS35" s="47"/>
      <c r="CT35" s="47"/>
      <c r="CU35" s="47"/>
      <c r="CV35" s="47"/>
      <c r="CW35" s="47"/>
      <c r="CX35" s="47"/>
      <c r="CY35" s="47"/>
      <c r="CZ35" s="47"/>
      <c r="DA35" s="47"/>
      <c r="DB35" s="47"/>
      <c r="DC35" s="47"/>
      <c r="DD35" s="47"/>
      <c r="DE35" s="47"/>
      <c r="DF35" s="47"/>
      <c r="DG35" s="47"/>
      <c r="DH35" s="47"/>
      <c r="DI35" s="47"/>
      <c r="DJ35" s="47"/>
      <c r="DK35" s="47"/>
      <c r="DL35" s="47"/>
      <c r="DM35" s="47"/>
      <c r="DN35" s="47"/>
      <c r="DO35" s="47"/>
      <c r="DP35" s="47"/>
      <c r="DQ35" s="7"/>
      <c r="DR35" s="47"/>
      <c r="DS35" s="47"/>
      <c r="DT35" s="47"/>
      <c r="DU35" s="47"/>
      <c r="DV35" s="47"/>
      <c r="DW35" s="47"/>
      <c r="DX35" s="47"/>
      <c r="DY35" s="47"/>
      <c r="DZ35" s="47"/>
      <c r="EA35" s="47"/>
      <c r="EB35" s="47"/>
      <c r="EC35" s="47"/>
      <c r="ED35" s="47"/>
      <c r="EE35" s="47"/>
      <c r="EF35" s="47"/>
      <c r="EG35" s="47"/>
      <c r="EH35" s="47"/>
      <c r="EI35" s="47"/>
      <c r="EJ35" s="47"/>
      <c r="EK35" s="47"/>
      <c r="EL35" s="47"/>
      <c r="EM35" s="47"/>
      <c r="EN35" s="47"/>
      <c r="EO35" s="47"/>
      <c r="EP35" s="47"/>
    </row>
    <row r="36" spans="1:146" ht="26.15" customHeight="1">
      <c r="A36" s="33" t="s">
        <v>119</v>
      </c>
      <c r="B36" s="34"/>
      <c r="C36" s="56">
        <f>'Etapa 1'!C55+C35</f>
        <v>2100</v>
      </c>
      <c r="D36" s="34"/>
      <c r="E36" s="33"/>
      <c r="F36" s="43">
        <v>46633</v>
      </c>
      <c r="G36" s="33"/>
      <c r="H36" s="34"/>
      <c r="I36" s="20"/>
      <c r="J36" s="35"/>
      <c r="K36" s="35"/>
      <c r="L36" s="35"/>
      <c r="M36" s="35"/>
      <c r="N36" s="35"/>
      <c r="O36" s="35"/>
      <c r="P36" s="35"/>
      <c r="Q36" s="35"/>
      <c r="R36" s="7"/>
      <c r="S36" s="35"/>
      <c r="T36" s="7"/>
      <c r="U36" s="35"/>
      <c r="V36" s="35"/>
      <c r="W36" s="35"/>
      <c r="X36" s="35"/>
      <c r="Y36" s="7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7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7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7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7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</row>
    <row r="37" spans="1:146">
      <c r="A37" s="1"/>
      <c r="B37" s="2"/>
      <c r="C37" s="1"/>
      <c r="D37" s="2"/>
      <c r="E37" s="1"/>
      <c r="F37" s="1"/>
      <c r="G37" s="1"/>
      <c r="H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</row>
    <row r="38" spans="1:146">
      <c r="A38" s="1"/>
      <c r="B38" s="2"/>
      <c r="C38" s="1"/>
      <c r="D38" s="2"/>
      <c r="E38" s="1"/>
      <c r="F38" s="1"/>
      <c r="G38" s="1"/>
      <c r="H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</row>
    <row r="39" spans="1:146">
      <c r="A39" s="1"/>
      <c r="B39" s="2"/>
      <c r="C39" s="1"/>
      <c r="D39" s="2"/>
      <c r="E39" s="1"/>
      <c r="F39" s="1"/>
      <c r="G39" s="1"/>
      <c r="H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</row>
    <row r="40" spans="1:146" ht="27" customHeight="1">
      <c r="A40" s="53" t="s">
        <v>164</v>
      </c>
      <c r="B40" s="54"/>
      <c r="C40" s="53"/>
      <c r="D40" s="53"/>
      <c r="E40" s="53"/>
      <c r="F40" s="53"/>
      <c r="G40" s="53"/>
      <c r="H40" s="54"/>
      <c r="I40" s="19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</row>
    <row r="41" spans="1:146" ht="27" customHeight="1">
      <c r="A41" s="27" t="s">
        <v>11</v>
      </c>
      <c r="B41" s="58">
        <f>C69</f>
        <v>980</v>
      </c>
      <c r="C41" s="27" t="s">
        <v>12</v>
      </c>
      <c r="D41" s="28">
        <v>46458</v>
      </c>
      <c r="E41" s="27" t="s">
        <v>13</v>
      </c>
      <c r="F41" s="29">
        <v>46643</v>
      </c>
      <c r="G41" s="27"/>
      <c r="H41" s="2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</row>
    <row r="42" spans="1:146" ht="52" customHeight="1">
      <c r="A42" s="55" t="inlineStr">
        <is>
          <t>Cloud se cuenta solo en Etapa 1. IA termina calculada el 25/06/2027 frente al objetivo tentativo 31/03/2027. Micrositio unificado: 424 h; sin doble conteo con Alcance 0 V2.</t>
        </is>
      </c>
      <c r="B42" s="55"/>
      <c r="C42" s="55"/>
      <c r="D42" s="55"/>
      <c r="E42" s="55"/>
      <c r="F42" s="55"/>
      <c r="G42" s="55"/>
      <c r="H42" s="55"/>
      <c r="I42" s="2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</row>
    <row r="43" spans="1:146" ht="20.149999999999999" customHeight="1">
      <c r="A43" s="1"/>
      <c r="B43" s="2"/>
      <c r="C43" s="1"/>
      <c r="D43" s="2"/>
      <c r="E43" s="1"/>
      <c r="F43" s="1"/>
      <c r="G43" s="1"/>
      <c r="H43" s="2"/>
      <c r="J43" s="30" t="inlineStr">
        <is>
          <t>MAR 27</t>
        </is>
      </c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 t="inlineStr">
        <is>
          <t>ABR 27</t>
        </is>
      </c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 t="inlineStr">
        <is>
          <t>MAY 27</t>
        </is>
      </c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 t="inlineStr">
        <is>
          <t>JUN 27</t>
        </is>
      </c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 t="inlineStr">
        <is>
          <t>JUL 27</t>
        </is>
      </c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 t="inlineStr">
        <is>
          <t>AGO 27</t>
        </is>
      </c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 t="inlineStr">
        <is>
          <t>SEPT 27</t>
        </is>
      </c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</row>
    <row r="44" spans="1:146" ht="32.15" customHeight="1">
      <c r="A44" s="31" t="s">
        <v>20</v>
      </c>
      <c r="B44" s="31" t="s">
        <v>21</v>
      </c>
      <c r="C44" s="31" t="s">
        <v>22</v>
      </c>
      <c r="D44" s="31" t="s">
        <v>23</v>
      </c>
      <c r="E44" s="31" t="s">
        <v>12</v>
      </c>
      <c r="F44" s="31" t="s">
        <v>24</v>
      </c>
      <c r="G44" s="31" t="s">
        <v>8</v>
      </c>
      <c r="H44" s="31" t="s">
        <v>25</v>
      </c>
      <c r="I44" s="31" t="s">
        <v>26</v>
      </c>
      <c r="J44" s="32">
        <v>46458</v>
      </c>
      <c r="K44" s="32">
        <v>46461</v>
      </c>
      <c r="L44" s="32">
        <v>46462</v>
      </c>
      <c r="M44" s="32">
        <v>46463</v>
      </c>
      <c r="N44" s="32">
        <v>46464</v>
      </c>
      <c r="O44" s="32">
        <v>46465</v>
      </c>
      <c r="P44" s="32">
        <v>46468</v>
      </c>
      <c r="Q44" s="32">
        <v>46469</v>
      </c>
      <c r="R44" s="16">
        <v>46470</v>
      </c>
      <c r="S44" s="32">
        <v>46471</v>
      </c>
      <c r="T44" s="16">
        <v>46472</v>
      </c>
      <c r="U44" s="32">
        <v>46475</v>
      </c>
      <c r="V44" s="32">
        <v>46476</v>
      </c>
      <c r="W44" s="32">
        <v>46477</v>
      </c>
      <c r="X44" s="32">
        <v>46478</v>
      </c>
      <c r="Y44" s="16">
        <v>46479</v>
      </c>
      <c r="Z44" s="32">
        <v>46482</v>
      </c>
      <c r="AA44" s="32">
        <v>46483</v>
      </c>
      <c r="AB44" s="32">
        <v>46484</v>
      </c>
      <c r="AC44" s="32">
        <v>46485</v>
      </c>
      <c r="AD44" s="32">
        <v>46486</v>
      </c>
      <c r="AE44" s="32">
        <v>46489</v>
      </c>
      <c r="AF44" s="32">
        <v>46490</v>
      </c>
      <c r="AG44" s="32">
        <v>46491</v>
      </c>
      <c r="AH44" s="32">
        <v>46492</v>
      </c>
      <c r="AI44" s="32">
        <v>46493</v>
      </c>
      <c r="AJ44" s="32">
        <v>46496</v>
      </c>
      <c r="AK44" s="32">
        <v>46497</v>
      </c>
      <c r="AL44" s="32">
        <v>46498</v>
      </c>
      <c r="AM44" s="32">
        <v>46499</v>
      </c>
      <c r="AN44" s="32">
        <v>46500</v>
      </c>
      <c r="AO44" s="32">
        <v>46503</v>
      </c>
      <c r="AP44" s="32">
        <v>46504</v>
      </c>
      <c r="AQ44" s="32">
        <v>46505</v>
      </c>
      <c r="AR44" s="32">
        <v>46506</v>
      </c>
      <c r="AS44" s="32">
        <v>46507</v>
      </c>
      <c r="AT44" s="32">
        <v>46510</v>
      </c>
      <c r="AU44" s="32">
        <v>46511</v>
      </c>
      <c r="AV44" s="32">
        <v>46512</v>
      </c>
      <c r="AW44" s="32">
        <v>46513</v>
      </c>
      <c r="AX44" s="32">
        <v>46514</v>
      </c>
      <c r="AY44" s="32">
        <v>46517</v>
      </c>
      <c r="AZ44" s="32">
        <v>46518</v>
      </c>
      <c r="BA44" s="32">
        <v>46519</v>
      </c>
      <c r="BB44" s="32">
        <v>46520</v>
      </c>
      <c r="BC44" s="32">
        <v>46521</v>
      </c>
      <c r="BD44" s="32">
        <v>46524</v>
      </c>
      <c r="BE44" s="32">
        <v>46525</v>
      </c>
      <c r="BF44" s="32">
        <v>46526</v>
      </c>
      <c r="BG44" s="32">
        <v>46527</v>
      </c>
      <c r="BH44" s="32">
        <v>46528</v>
      </c>
      <c r="BI44" s="32">
        <v>46531</v>
      </c>
      <c r="BJ44" s="16">
        <v>46532</v>
      </c>
      <c r="BK44" s="32">
        <v>46533</v>
      </c>
      <c r="BL44" s="32">
        <v>46534</v>
      </c>
      <c r="BM44" s="32">
        <v>46535</v>
      </c>
      <c r="BN44" s="32">
        <v>46538</v>
      </c>
      <c r="BO44" s="32">
        <v>46539</v>
      </c>
      <c r="BP44" s="32">
        <v>46540</v>
      </c>
      <c r="BQ44" s="32">
        <v>46541</v>
      </c>
      <c r="BR44" s="32">
        <v>46542</v>
      </c>
      <c r="BS44" s="32">
        <v>46545</v>
      </c>
      <c r="BT44" s="32">
        <v>46546</v>
      </c>
      <c r="BU44" s="32">
        <v>46547</v>
      </c>
      <c r="BV44" s="32">
        <v>46548</v>
      </c>
      <c r="BW44" s="32">
        <v>46549</v>
      </c>
      <c r="BX44" s="32">
        <v>46552</v>
      </c>
      <c r="BY44" s="32">
        <v>46553</v>
      </c>
      <c r="BZ44" s="32">
        <v>46554</v>
      </c>
      <c r="CA44" s="32">
        <v>46555</v>
      </c>
      <c r="CB44" s="32">
        <v>46556</v>
      </c>
      <c r="CC44" s="16">
        <v>46559</v>
      </c>
      <c r="CD44" s="32">
        <v>46560</v>
      </c>
      <c r="CE44" s="32">
        <v>46561</v>
      </c>
      <c r="CF44" s="32">
        <v>46562</v>
      </c>
      <c r="CG44" s="32">
        <v>46563</v>
      </c>
      <c r="CH44" s="32">
        <v>46566</v>
      </c>
      <c r="CI44" s="32">
        <v>46567</v>
      </c>
      <c r="CJ44" s="32">
        <v>46568</v>
      </c>
      <c r="CK44" s="32">
        <v>46569</v>
      </c>
      <c r="CL44" s="32">
        <v>46570</v>
      </c>
      <c r="CM44" s="32">
        <v>46573</v>
      </c>
      <c r="CN44" s="32">
        <v>46574</v>
      </c>
      <c r="CO44" s="32">
        <v>46575</v>
      </c>
      <c r="CP44" s="32">
        <v>46576</v>
      </c>
      <c r="CQ44" s="16">
        <v>46577</v>
      </c>
      <c r="CR44" s="32">
        <v>46580</v>
      </c>
      <c r="CS44" s="32">
        <v>46581</v>
      </c>
      <c r="CT44" s="32">
        <v>46582</v>
      </c>
      <c r="CU44" s="32">
        <v>46583</v>
      </c>
      <c r="CV44" s="32">
        <v>46584</v>
      </c>
      <c r="CW44" s="32">
        <v>46587</v>
      </c>
      <c r="CX44" s="32">
        <v>46588</v>
      </c>
      <c r="CY44" s="32">
        <v>46589</v>
      </c>
      <c r="CZ44" s="32">
        <v>46590</v>
      </c>
      <c r="DA44" s="32">
        <v>46591</v>
      </c>
      <c r="DB44" s="32">
        <v>46594</v>
      </c>
      <c r="DC44" s="32">
        <v>46595</v>
      </c>
      <c r="DD44" s="32">
        <v>46596</v>
      </c>
      <c r="DE44" s="32">
        <v>46597</v>
      </c>
      <c r="DF44" s="32">
        <v>46598</v>
      </c>
      <c r="DG44" s="32">
        <v>46601</v>
      </c>
      <c r="DH44" s="32">
        <v>46602</v>
      </c>
      <c r="DI44" s="32">
        <v>46603</v>
      </c>
      <c r="DJ44" s="32">
        <v>46604</v>
      </c>
      <c r="DK44" s="32">
        <v>46605</v>
      </c>
      <c r="DL44" s="32">
        <v>46608</v>
      </c>
      <c r="DM44" s="32">
        <v>46609</v>
      </c>
      <c r="DN44" s="32">
        <v>46610</v>
      </c>
      <c r="DO44" s="32">
        <v>46611</v>
      </c>
      <c r="DP44" s="32">
        <v>46612</v>
      </c>
      <c r="DQ44" s="16">
        <v>46615</v>
      </c>
      <c r="DR44" s="32">
        <v>46616</v>
      </c>
      <c r="DS44" s="32">
        <v>46617</v>
      </c>
      <c r="DT44" s="32">
        <v>46618</v>
      </c>
      <c r="DU44" s="32">
        <v>46619</v>
      </c>
      <c r="DV44" s="32">
        <v>46622</v>
      </c>
      <c r="DW44" s="32">
        <v>46623</v>
      </c>
      <c r="DX44" s="32">
        <v>46624</v>
      </c>
      <c r="DY44" s="32">
        <v>46625</v>
      </c>
      <c r="DZ44" s="32">
        <v>46626</v>
      </c>
      <c r="EA44" s="32">
        <v>46629</v>
      </c>
      <c r="EB44" s="32">
        <v>46630</v>
      </c>
      <c r="EC44" s="32">
        <v>46631</v>
      </c>
      <c r="ED44" s="32">
        <v>46632</v>
      </c>
      <c r="EE44" s="32">
        <v>46633</v>
      </c>
      <c r="EF44" s="32">
        <v>46636</v>
      </c>
      <c r="EG44" s="32">
        <v>46637</v>
      </c>
      <c r="EH44" s="32">
        <v>46638</v>
      </c>
      <c r="EI44" s="32">
        <v>46639</v>
      </c>
      <c r="EJ44" s="32">
        <v>46640</v>
      </c>
      <c r="EK44" s="32">
        <v>46643</v>
      </c>
      <c r="EL44" s="32">
        <v>46644</v>
      </c>
      <c r="EM44" s="32">
        <v>46645</v>
      </c>
      <c r="EN44" s="32">
        <v>46646</v>
      </c>
      <c r="EO44" s="32">
        <v>46647</v>
      </c>
      <c r="EP44" s="32">
        <v>46650</v>
      </c>
    </row>
    <row r="45" spans="1:146" ht="25" customHeight="1">
      <c r="A45" s="51" t="s">
        <v>128</v>
      </c>
      <c r="B45" s="52"/>
      <c r="C45" s="51"/>
      <c r="D45" s="51"/>
      <c r="E45" s="51"/>
      <c r="F45" s="51"/>
      <c r="G45" s="51"/>
      <c r="H45" s="52"/>
      <c r="I45" s="20"/>
      <c r="J45" s="35"/>
      <c r="K45" s="35"/>
      <c r="L45" s="35"/>
      <c r="M45" s="35"/>
      <c r="N45" s="35"/>
      <c r="O45" s="35"/>
      <c r="P45" s="35"/>
      <c r="Q45" s="35"/>
      <c r="R45" s="7"/>
      <c r="S45" s="35"/>
      <c r="T45" s="7"/>
      <c r="U45" s="35"/>
      <c r="V45" s="35"/>
      <c r="W45" s="35"/>
      <c r="X45" s="35"/>
      <c r="Y45" s="7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7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7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7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7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</row>
    <row r="46" spans="1:146" ht="48" customHeight="1">
      <c r="A46" s="36" t="s">
        <v>129</v>
      </c>
      <c r="B46" s="37" t="s">
        <v>130</v>
      </c>
      <c r="C46" s="38">
        <v>56</v>
      </c>
      <c r="D46" s="39" t="s">
        <v>208</v>
      </c>
      <c r="E46" s="40">
        <v>46458</v>
      </c>
      <c r="F46" s="40">
        <v>46471</v>
      </c>
      <c r="G46" s="38" t="s">
        <v>48</v>
      </c>
      <c r="H46" s="37"/>
      <c r="I46" s="39" t="s">
        <v>50</v>
      </c>
      <c r="J46" s="13" t="s">
        <v>64</v>
      </c>
      <c r="K46" s="13" t="s">
        <v>64</v>
      </c>
      <c r="L46" s="13" t="s">
        <v>64</v>
      </c>
      <c r="M46" s="11" t="s">
        <v>44</v>
      </c>
      <c r="N46" s="11" t="s">
        <v>44</v>
      </c>
      <c r="O46" s="11" t="s">
        <v>44</v>
      </c>
      <c r="P46" s="11" t="s">
        <v>38</v>
      </c>
      <c r="Q46" s="11" t="s">
        <v>38</v>
      </c>
      <c r="R46" s="7"/>
      <c r="S46" s="10" t="s">
        <v>34</v>
      </c>
      <c r="T46" s="7"/>
      <c r="U46" s="1"/>
      <c r="V46" s="1"/>
      <c r="W46" s="1"/>
      <c r="X46" s="1"/>
      <c r="Y46" s="7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7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7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7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7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</row>
    <row r="47" spans="1:146" ht="36" customHeight="1">
      <c r="A47" s="36" t="s">
        <v>131</v>
      </c>
      <c r="B47" s="37" t="s">
        <v>132</v>
      </c>
      <c r="C47" s="38">
        <v>76</v>
      </c>
      <c r="D47" s="39" t="s">
        <v>206</v>
      </c>
      <c r="E47" s="40">
        <v>46471</v>
      </c>
      <c r="F47" s="40">
        <v>46490</v>
      </c>
      <c r="G47" s="38" t="s">
        <v>48</v>
      </c>
      <c r="H47" s="37"/>
      <c r="I47" s="39" t="s">
        <v>33</v>
      </c>
      <c r="J47" s="1"/>
      <c r="K47" s="1"/>
      <c r="L47" s="1"/>
      <c r="M47" s="1"/>
      <c r="N47" s="1"/>
      <c r="O47" s="1"/>
      <c r="P47" s="1"/>
      <c r="Q47" s="1"/>
      <c r="R47" s="7"/>
      <c r="S47" s="13" t="s">
        <v>64</v>
      </c>
      <c r="T47" s="7"/>
      <c r="U47" s="13" t="s">
        <v>64</v>
      </c>
      <c r="V47" s="11" t="s">
        <v>44</v>
      </c>
      <c r="W47" s="11" t="s">
        <v>44</v>
      </c>
      <c r="X47" s="11" t="s">
        <v>44</v>
      </c>
      <c r="Y47" s="7"/>
      <c r="Z47" s="11" t="s">
        <v>44</v>
      </c>
      <c r="AA47" s="11" t="s">
        <v>44</v>
      </c>
      <c r="AB47" s="11" t="s">
        <v>44</v>
      </c>
      <c r="AC47" s="11" t="s">
        <v>38</v>
      </c>
      <c r="AD47" s="11" t="s">
        <v>38</v>
      </c>
      <c r="AE47" s="10" t="s">
        <v>34</v>
      </c>
      <c r="AF47" s="10" t="s">
        <v>34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7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7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7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7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</row>
    <row r="48" spans="1:146" ht="48" customHeight="1">
      <c r="A48" s="36" t="s">
        <v>133</v>
      </c>
      <c r="B48" s="37" t="s">
        <v>134</v>
      </c>
      <c r="C48" s="38">
        <v>70</v>
      </c>
      <c r="D48" s="39" t="s">
        <v>209</v>
      </c>
      <c r="E48" s="40">
        <v>46489</v>
      </c>
      <c r="F48" s="40">
        <v>46503</v>
      </c>
      <c r="G48" s="38" t="s">
        <v>48</v>
      </c>
      <c r="H48" s="37"/>
      <c r="I48" s="39" t="s">
        <v>33</v>
      </c>
      <c r="J48" s="1"/>
      <c r="K48" s="1"/>
      <c r="L48" s="1"/>
      <c r="M48" s="1"/>
      <c r="N48" s="1"/>
      <c r="O48" s="1"/>
      <c r="P48" s="1"/>
      <c r="Q48" s="1"/>
      <c r="R48" s="7"/>
      <c r="S48" s="1"/>
      <c r="T48" s="7"/>
      <c r="U48" s="1"/>
      <c r="V48" s="1"/>
      <c r="W48" s="1"/>
      <c r="X48" s="1"/>
      <c r="Y48" s="7"/>
      <c r="Z48" s="1"/>
      <c r="AA48" s="1"/>
      <c r="AB48" s="1"/>
      <c r="AC48" s="1"/>
      <c r="AD48" s="1"/>
      <c r="AE48" s="13" t="s">
        <v>64</v>
      </c>
      <c r="AF48" s="13" t="s">
        <v>64</v>
      </c>
      <c r="AG48" s="13" t="s">
        <v>64</v>
      </c>
      <c r="AH48" s="11" t="s">
        <v>44</v>
      </c>
      <c r="AI48" s="11" t="s">
        <v>44</v>
      </c>
      <c r="AJ48" s="11" t="s">
        <v>44</v>
      </c>
      <c r="AK48" s="11" t="s">
        <v>44</v>
      </c>
      <c r="AL48" s="11" t="s">
        <v>38</v>
      </c>
      <c r="AM48" s="11" t="s">
        <v>38</v>
      </c>
      <c r="AN48" s="10" t="s">
        <v>34</v>
      </c>
      <c r="AO48" s="10" t="s">
        <v>34</v>
      </c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7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7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7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7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</row>
    <row r="49" spans="1:146" ht="36" customHeight="1">
      <c r="A49" s="36" t="s">
        <v>135</v>
      </c>
      <c r="B49" s="37" t="s">
        <v>136</v>
      </c>
      <c r="C49" s="38">
        <v>70</v>
      </c>
      <c r="D49" s="39" t="s">
        <v>210</v>
      </c>
      <c r="E49" s="40">
        <v>46500</v>
      </c>
      <c r="F49" s="40">
        <v>46514</v>
      </c>
      <c r="G49" s="38" t="s">
        <v>48</v>
      </c>
      <c r="H49" s="37"/>
      <c r="I49" s="39" t="s">
        <v>33</v>
      </c>
      <c r="J49" s="1"/>
      <c r="K49" s="1"/>
      <c r="L49" s="1"/>
      <c r="M49" s="1"/>
      <c r="N49" s="1"/>
      <c r="O49" s="1"/>
      <c r="P49" s="1"/>
      <c r="Q49" s="1"/>
      <c r="R49" s="7"/>
      <c r="S49" s="1"/>
      <c r="T49" s="7"/>
      <c r="U49" s="1"/>
      <c r="V49" s="1"/>
      <c r="W49" s="1"/>
      <c r="X49" s="1"/>
      <c r="Y49" s="7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3" t="s">
        <v>64</v>
      </c>
      <c r="AO49" s="13" t="s">
        <v>64</v>
      </c>
      <c r="AP49" s="11" t="s">
        <v>44</v>
      </c>
      <c r="AQ49" s="11" t="s">
        <v>44</v>
      </c>
      <c r="AR49" s="11" t="s">
        <v>44</v>
      </c>
      <c r="AS49" s="11" t="s">
        <v>44</v>
      </c>
      <c r="AT49" s="11" t="s">
        <v>38</v>
      </c>
      <c r="AU49" s="11" t="s">
        <v>38</v>
      </c>
      <c r="AV49" s="11" t="s">
        <v>38</v>
      </c>
      <c r="AW49" s="10" t="s">
        <v>34</v>
      </c>
      <c r="AX49" s="10" t="s">
        <v>34</v>
      </c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7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7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7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7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</row>
    <row r="50" spans="1:146" ht="36" customHeight="1">
      <c r="A50" s="36" t="s">
        <v>137</v>
      </c>
      <c r="B50" s="37" t="s">
        <v>138</v>
      </c>
      <c r="C50" s="38">
        <v>58</v>
      </c>
      <c r="D50" s="39" t="s">
        <v>183</v>
      </c>
      <c r="E50" s="40">
        <v>46513</v>
      </c>
      <c r="F50" s="40">
        <v>46525</v>
      </c>
      <c r="G50" s="38" t="s">
        <v>48</v>
      </c>
      <c r="H50" s="37"/>
      <c r="I50" s="39" t="s">
        <v>33</v>
      </c>
      <c r="J50" s="1"/>
      <c r="K50" s="1"/>
      <c r="L50" s="1"/>
      <c r="M50" s="1"/>
      <c r="N50" s="1"/>
      <c r="O50" s="1"/>
      <c r="P50" s="1"/>
      <c r="Q50" s="1"/>
      <c r="R50" s="7"/>
      <c r="S50" s="1"/>
      <c r="T50" s="7"/>
      <c r="U50" s="1"/>
      <c r="V50" s="1"/>
      <c r="W50" s="1"/>
      <c r="X50" s="1"/>
      <c r="Y50" s="7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3" t="s">
        <v>64</v>
      </c>
      <c r="AX50" s="11" t="s">
        <v>44</v>
      </c>
      <c r="AY50" s="11" t="s">
        <v>44</v>
      </c>
      <c r="AZ50" s="11" t="s">
        <v>44</v>
      </c>
      <c r="BA50" s="11" t="s">
        <v>44</v>
      </c>
      <c r="BB50" s="11" t="s">
        <v>38</v>
      </c>
      <c r="BC50" s="11" t="s">
        <v>38</v>
      </c>
      <c r="BD50" s="10" t="s">
        <v>34</v>
      </c>
      <c r="BE50" s="10" t="s">
        <v>34</v>
      </c>
      <c r="BF50" s="1"/>
      <c r="BG50" s="1"/>
      <c r="BH50" s="1"/>
      <c r="BI50" s="1"/>
      <c r="BJ50" s="7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7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7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7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</row>
    <row r="51" spans="1:146" ht="36" customHeight="1">
      <c r="A51" s="36" t="s">
        <v>139</v>
      </c>
      <c r="B51" s="37" t="s">
        <v>140</v>
      </c>
      <c r="C51" s="38">
        <v>58</v>
      </c>
      <c r="D51" s="39" t="s">
        <v>211</v>
      </c>
      <c r="E51" s="40">
        <v>46524</v>
      </c>
      <c r="F51" s="40">
        <v>46535</v>
      </c>
      <c r="G51" s="38" t="s">
        <v>48</v>
      </c>
      <c r="H51" s="37"/>
      <c r="I51" s="39" t="s">
        <v>33</v>
      </c>
      <c r="J51" s="1"/>
      <c r="K51" s="1"/>
      <c r="L51" s="1"/>
      <c r="M51" s="1"/>
      <c r="N51" s="1"/>
      <c r="O51" s="1"/>
      <c r="P51" s="1"/>
      <c r="Q51" s="1"/>
      <c r="R51" s="7"/>
      <c r="S51" s="1"/>
      <c r="T51" s="7"/>
      <c r="U51" s="1"/>
      <c r="V51" s="1"/>
      <c r="W51" s="1"/>
      <c r="X51" s="1"/>
      <c r="Y51" s="7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3" t="s">
        <v>64</v>
      </c>
      <c r="BE51" s="13" t="s">
        <v>64</v>
      </c>
      <c r="BF51" s="11" t="s">
        <v>44</v>
      </c>
      <c r="BG51" s="11" t="s">
        <v>44</v>
      </c>
      <c r="BH51" s="11" t="s">
        <v>44</v>
      </c>
      <c r="BI51" s="11" t="s">
        <v>38</v>
      </c>
      <c r="BJ51" s="7"/>
      <c r="BK51" s="11" t="s">
        <v>38</v>
      </c>
      <c r="BL51" s="10" t="s">
        <v>34</v>
      </c>
      <c r="BM51" s="10" t="s">
        <v>34</v>
      </c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7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7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7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</row>
    <row r="52" spans="1:146" ht="48" customHeight="1">
      <c r="A52" s="36" t="s">
        <v>141</v>
      </c>
      <c r="B52" s="37" t="s">
        <v>142</v>
      </c>
      <c r="C52" s="38"/>
      <c r="D52" s="39" t="s">
        <v>186</v>
      </c>
      <c r="E52" s="40"/>
      <c r="F52" s="40"/>
      <c r="G52" s="38" t="s">
        <v>187</v>
      </c>
      <c r="H52" s="37" t="s">
        <v>188</v>
      </c>
      <c r="I52" s="39" t="s">
        <v>33</v>
      </c>
      <c r="J52" s="1"/>
      <c r="K52" s="1"/>
      <c r="L52" s="1"/>
      <c r="M52" s="1"/>
      <c r="N52" s="1"/>
      <c r="O52" s="1"/>
      <c r="P52" s="1"/>
      <c r="Q52" s="1"/>
      <c r="R52" s="7"/>
      <c r="S52" s="1"/>
      <c r="T52" s="7"/>
      <c r="U52" s="1"/>
      <c r="V52" s="1"/>
      <c r="W52" s="1"/>
      <c r="X52" s="1"/>
      <c r="Y52" s="7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7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7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7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7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</row>
    <row r="53" spans="1:146" ht="36" customHeight="1">
      <c r="A53" s="36" t="s">
        <v>143</v>
      </c>
      <c r="B53" s="37" t="s">
        <v>144</v>
      </c>
      <c r="C53" s="38">
        <v>52</v>
      </c>
      <c r="D53" s="39" t="s">
        <v>195</v>
      </c>
      <c r="E53" s="40">
        <v>46534</v>
      </c>
      <c r="F53" s="40">
        <v>46545</v>
      </c>
      <c r="G53" s="38" t="s">
        <v>48</v>
      </c>
      <c r="H53" s="37"/>
      <c r="I53" s="39" t="s">
        <v>33</v>
      </c>
      <c r="J53" s="1"/>
      <c r="K53" s="1"/>
      <c r="L53" s="1"/>
      <c r="M53" s="1"/>
      <c r="N53" s="1"/>
      <c r="O53" s="1"/>
      <c r="P53" s="1"/>
      <c r="Q53" s="1"/>
      <c r="R53" s="7"/>
      <c r="S53" s="1"/>
      <c r="T53" s="7"/>
      <c r="U53" s="1"/>
      <c r="V53" s="1"/>
      <c r="W53" s="1"/>
      <c r="X53" s="1"/>
      <c r="Y53" s="7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7"/>
      <c r="BK53" s="1"/>
      <c r="BL53" s="13" t="s">
        <v>64</v>
      </c>
      <c r="BM53" s="11" t="s">
        <v>44</v>
      </c>
      <c r="BN53" s="11" t="s">
        <v>44</v>
      </c>
      <c r="BO53" s="11" t="s">
        <v>44</v>
      </c>
      <c r="BP53" s="11" t="s">
        <v>38</v>
      </c>
      <c r="BQ53" s="11" t="s">
        <v>38</v>
      </c>
      <c r="BR53" s="10" t="s">
        <v>34</v>
      </c>
      <c r="BS53" s="10" t="s">
        <v>34</v>
      </c>
      <c r="BT53" s="1"/>
      <c r="BU53" s="1"/>
      <c r="BV53" s="1"/>
      <c r="BW53" s="1"/>
      <c r="BX53" s="1"/>
      <c r="BY53" s="1"/>
      <c r="BZ53" s="1"/>
      <c r="CA53" s="1"/>
      <c r="CB53" s="1"/>
      <c r="CC53" s="7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7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7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</row>
    <row r="54" spans="1:146" ht="36" customHeight="1">
      <c r="A54" s="36" t="s">
        <v>145</v>
      </c>
      <c r="B54" s="37" t="s">
        <v>146</v>
      </c>
      <c r="C54" s="38">
        <v>62</v>
      </c>
      <c r="D54" s="39" t="s">
        <v>212</v>
      </c>
      <c r="E54" s="40">
        <v>46542</v>
      </c>
      <c r="F54" s="40">
        <v>46554</v>
      </c>
      <c r="G54" s="38" t="s">
        <v>48</v>
      </c>
      <c r="H54" s="37"/>
      <c r="I54" s="39" t="s">
        <v>33</v>
      </c>
      <c r="J54" s="1"/>
      <c r="K54" s="1"/>
      <c r="L54" s="1"/>
      <c r="M54" s="1"/>
      <c r="N54" s="1"/>
      <c r="O54" s="1"/>
      <c r="P54" s="1"/>
      <c r="Q54" s="1"/>
      <c r="R54" s="7"/>
      <c r="S54" s="1"/>
      <c r="T54" s="7"/>
      <c r="U54" s="1"/>
      <c r="V54" s="1"/>
      <c r="W54" s="1"/>
      <c r="X54" s="1"/>
      <c r="Y54" s="7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7"/>
      <c r="BK54" s="1"/>
      <c r="BL54" s="1"/>
      <c r="BM54" s="1"/>
      <c r="BN54" s="1"/>
      <c r="BO54" s="1"/>
      <c r="BP54" s="1"/>
      <c r="BQ54" s="1"/>
      <c r="BR54" s="13" t="s">
        <v>64</v>
      </c>
      <c r="BS54" s="11" t="s">
        <v>44</v>
      </c>
      <c r="BT54" s="11" t="s">
        <v>44</v>
      </c>
      <c r="BU54" s="11" t="s">
        <v>38</v>
      </c>
      <c r="BV54" s="11" t="s">
        <v>38</v>
      </c>
      <c r="BW54" s="10" t="s">
        <v>34</v>
      </c>
      <c r="BX54" s="10" t="s">
        <v>34</v>
      </c>
      <c r="BY54" s="10" t="s">
        <v>34</v>
      </c>
      <c r="BZ54" s="10" t="s">
        <v>34</v>
      </c>
      <c r="CA54" s="1"/>
      <c r="CB54" s="1"/>
      <c r="CC54" s="7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7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7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</row>
    <row r="55" spans="1:146" ht="36" customHeight="1">
      <c r="A55" s="36" t="s">
        <v>189</v>
      </c>
      <c r="B55" s="37" t="s">
        <v>95</v>
      </c>
      <c r="C55" s="38">
        <v>6</v>
      </c>
      <c r="D55" s="39" t="s">
        <v>213</v>
      </c>
      <c r="E55" s="40">
        <v>46549</v>
      </c>
      <c r="F55" s="40">
        <v>46549</v>
      </c>
      <c r="G55" s="38" t="s">
        <v>48</v>
      </c>
      <c r="H55" s="37"/>
      <c r="I55" s="39" t="s">
        <v>33</v>
      </c>
      <c r="J55" s="1"/>
      <c r="K55" s="1"/>
      <c r="L55" s="1"/>
      <c r="M55" s="1"/>
      <c r="N55" s="1"/>
      <c r="O55" s="1"/>
      <c r="P55" s="1"/>
      <c r="Q55" s="1"/>
      <c r="R55" s="7"/>
      <c r="S55" s="1"/>
      <c r="T55" s="7"/>
      <c r="U55" s="1"/>
      <c r="V55" s="1"/>
      <c r="W55" s="1"/>
      <c r="X55" s="1"/>
      <c r="Y55" s="7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7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3" t="s">
        <v>64</v>
      </c>
      <c r="BX55" s="1"/>
      <c r="BY55" s="1"/>
      <c r="BZ55" s="1"/>
      <c r="CA55" s="1"/>
      <c r="CB55" s="1"/>
      <c r="CC55" s="7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7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7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</row>
    <row r="56" spans="1:146" ht="36" customHeight="1">
      <c r="A56" s="36" t="s">
        <v>147</v>
      </c>
      <c r="B56" s="37" t="s">
        <v>52</v>
      </c>
      <c r="C56" s="38">
        <v>0</v>
      </c>
      <c r="D56" s="39" t="s">
        <v>53</v>
      </c>
      <c r="E56" s="40">
        <v>46554</v>
      </c>
      <c r="F56" s="40">
        <v>46554</v>
      </c>
      <c r="G56" s="38" t="s">
        <v>48</v>
      </c>
      <c r="H56" s="37" t="s">
        <v>54</v>
      </c>
      <c r="I56" s="39" t="s">
        <v>33</v>
      </c>
      <c r="J56" s="1"/>
      <c r="K56" s="1"/>
      <c r="L56" s="1"/>
      <c r="M56" s="1"/>
      <c r="N56" s="1"/>
      <c r="O56" s="1"/>
      <c r="P56" s="1"/>
      <c r="Q56" s="1"/>
      <c r="R56" s="7"/>
      <c r="S56" s="1"/>
      <c r="T56" s="7"/>
      <c r="U56" s="1"/>
      <c r="V56" s="1"/>
      <c r="W56" s="1"/>
      <c r="X56" s="1"/>
      <c r="Y56" s="7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7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7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7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7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</row>
    <row r="57" spans="1:146" ht="36" customHeight="1">
      <c r="A57" s="36" t="s">
        <v>148</v>
      </c>
      <c r="B57" s="37" t="s">
        <v>56</v>
      </c>
      <c r="C57" s="38">
        <v>48</v>
      </c>
      <c r="D57" s="39" t="s">
        <v>149</v>
      </c>
      <c r="E57" s="40">
        <v>46555</v>
      </c>
      <c r="F57" s="40">
        <v>46563</v>
      </c>
      <c r="G57" s="38" t="s">
        <v>48</v>
      </c>
      <c r="H57" s="37" t="s">
        <v>58</v>
      </c>
      <c r="I57" s="39" t="s">
        <v>33</v>
      </c>
      <c r="J57" s="1"/>
      <c r="K57" s="1"/>
      <c r="L57" s="1"/>
      <c r="M57" s="1"/>
      <c r="N57" s="1"/>
      <c r="O57" s="1"/>
      <c r="P57" s="1"/>
      <c r="Q57" s="1"/>
      <c r="R57" s="7"/>
      <c r="S57" s="1"/>
      <c r="T57" s="7"/>
      <c r="U57" s="1"/>
      <c r="V57" s="1"/>
      <c r="W57" s="1"/>
      <c r="X57" s="1"/>
      <c r="Y57" s="7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7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4" t="s">
        <v>59</v>
      </c>
      <c r="CB57" s="14" t="s">
        <v>59</v>
      </c>
      <c r="CC57" s="7"/>
      <c r="CD57" s="14" t="s">
        <v>59</v>
      </c>
      <c r="CE57" s="14" t="s">
        <v>59</v>
      </c>
      <c r="CF57" s="14" t="s">
        <v>59</v>
      </c>
      <c r="CG57" s="14" t="s">
        <v>59</v>
      </c>
      <c r="CH57" s="1"/>
      <c r="CI57" s="1"/>
      <c r="CJ57" s="1"/>
      <c r="CK57" s="1"/>
      <c r="CL57" s="1"/>
      <c r="CM57" s="1"/>
      <c r="CN57" s="1"/>
      <c r="CO57" s="1"/>
      <c r="CP57" s="1"/>
      <c r="CQ57" s="7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7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</row>
    <row r="58" spans="1:146" ht="26.15" customHeight="1">
      <c r="A58" s="33" t="s">
        <v>60</v>
      </c>
      <c r="B58" s="34"/>
      <c r="C58" s="56">
        <f>SUM(C46:C57)</f>
        <v>556</v>
      </c>
      <c r="D58" s="34"/>
      <c r="E58" s="33"/>
      <c r="F58" s="43">
        <v>46563</v>
      </c>
      <c r="G58" s="33"/>
      <c r="H58" s="34"/>
      <c r="I58" s="20"/>
      <c r="J58" s="35"/>
      <c r="K58" s="35"/>
      <c r="L58" s="35"/>
      <c r="M58" s="35"/>
      <c r="N58" s="35"/>
      <c r="O58" s="35"/>
      <c r="P58" s="35"/>
      <c r="Q58" s="35"/>
      <c r="R58" s="7"/>
      <c r="S58" s="35"/>
      <c r="T58" s="7"/>
      <c r="U58" s="35"/>
      <c r="V58" s="35"/>
      <c r="W58" s="35"/>
      <c r="X58" s="35"/>
      <c r="Y58" s="7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7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7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7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7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</row>
    <row r="59" spans="1:146" ht="25" customHeight="1">
      <c r="A59" s="51" t="s">
        <v>165</v>
      </c>
      <c r="B59" s="52"/>
      <c r="C59" s="51"/>
      <c r="D59" s="51"/>
      <c r="E59" s="51"/>
      <c r="F59" s="51"/>
      <c r="G59" s="51"/>
      <c r="H59" s="52"/>
      <c r="I59" s="20"/>
      <c r="J59" s="35"/>
      <c r="K59" s="35"/>
      <c r="L59" s="35"/>
      <c r="M59" s="35"/>
      <c r="N59" s="35"/>
      <c r="O59" s="35"/>
      <c r="P59" s="35"/>
      <c r="Q59" s="35"/>
      <c r="R59" s="7"/>
      <c r="S59" s="35"/>
      <c r="T59" s="7"/>
      <c r="U59" s="35"/>
      <c r="V59" s="35"/>
      <c r="W59" s="35"/>
      <c r="X59" s="35"/>
      <c r="Y59" s="7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7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7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7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7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</row>
    <row r="60" spans="1:146" ht="36" customHeight="1">
      <c r="A60" s="36" t="s">
        <v>166</v>
      </c>
      <c r="B60" s="37" t="s">
        <v>167</v>
      </c>
      <c r="C60" s="38">
        <v>50</v>
      </c>
      <c r="D60" s="39" t="s">
        <v>214</v>
      </c>
      <c r="E60" s="40">
        <v>46566</v>
      </c>
      <c r="F60" s="40">
        <v>46575</v>
      </c>
      <c r="G60" s="38" t="s">
        <v>48</v>
      </c>
      <c r="H60" s="37" t="s">
        <v>168</v>
      </c>
      <c r="I60" s="39" t="s">
        <v>33</v>
      </c>
      <c r="J60" s="1"/>
      <c r="K60" s="1"/>
      <c r="L60" s="1"/>
      <c r="M60" s="1"/>
      <c r="N60" s="1"/>
      <c r="O60" s="1"/>
      <c r="P60" s="1"/>
      <c r="Q60" s="1"/>
      <c r="R60" s="7"/>
      <c r="S60" s="1"/>
      <c r="T60" s="7"/>
      <c r="U60" s="1"/>
      <c r="V60" s="1"/>
      <c r="W60" s="1"/>
      <c r="X60" s="1"/>
      <c r="Y60" s="7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7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7"/>
      <c r="CD60" s="1"/>
      <c r="CE60" s="1"/>
      <c r="CF60" s="1"/>
      <c r="CG60" s="1"/>
      <c r="CH60" s="13" t="s">
        <v>64</v>
      </c>
      <c r="CI60" s="13" t="s">
        <v>64</v>
      </c>
      <c r="CJ60" s="11" t="s">
        <v>44</v>
      </c>
      <c r="CK60" s="11" t="s">
        <v>44</v>
      </c>
      <c r="CL60" s="11" t="s">
        <v>44</v>
      </c>
      <c r="CM60" s="11" t="s">
        <v>38</v>
      </c>
      <c r="CN60" s="11" t="s">
        <v>38</v>
      </c>
      <c r="CO60" s="10" t="s">
        <v>34</v>
      </c>
      <c r="CP60" s="1"/>
      <c r="CQ60" s="7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7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</row>
    <row r="61" spans="1:146" ht="48" customHeight="1">
      <c r="A61" s="36" t="s">
        <v>169</v>
      </c>
      <c r="B61" s="37" t="s">
        <v>170</v>
      </c>
      <c r="C61" s="38">
        <v>104</v>
      </c>
      <c r="D61" s="39" t="s">
        <v>218</v>
      </c>
      <c r="E61" s="40">
        <v>46575</v>
      </c>
      <c r="F61" s="40">
        <v>46598</v>
      </c>
      <c r="G61" s="38" t="s">
        <v>48</v>
      </c>
      <c r="H61" s="37" t="s">
        <v>191</v>
      </c>
      <c r="I61" s="39" t="s">
        <v>33</v>
      </c>
      <c r="J61" s="1"/>
      <c r="K61" s="1"/>
      <c r="L61" s="1"/>
      <c r="M61" s="1"/>
      <c r="N61" s="1"/>
      <c r="O61" s="1"/>
      <c r="P61" s="1"/>
      <c r="Q61" s="1"/>
      <c r="R61" s="7"/>
      <c r="S61" s="1"/>
      <c r="T61" s="7"/>
      <c r="U61" s="1"/>
      <c r="V61" s="1"/>
      <c r="W61" s="1"/>
      <c r="X61" s="1"/>
      <c r="Y61" s="7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7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7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3" t="s">
        <v>64</v>
      </c>
      <c r="CP61" s="13" t="s">
        <v>64</v>
      </c>
      <c r="CQ61" s="7"/>
      <c r="CR61" s="11" t="s">
        <v>44</v>
      </c>
      <c r="CS61" s="11" t="s">
        <v>44</v>
      </c>
      <c r="CT61" s="11" t="s">
        <v>44</v>
      </c>
      <c r="CU61" s="11" t="s">
        <v>44</v>
      </c>
      <c r="CV61" s="11" t="s">
        <v>44</v>
      </c>
      <c r="CW61" s="11" t="s">
        <v>44</v>
      </c>
      <c r="CX61" s="11" t="s">
        <v>44</v>
      </c>
      <c r="CY61" s="11" t="s">
        <v>44</v>
      </c>
      <c r="CZ61" s="11" t="s">
        <v>38</v>
      </c>
      <c r="DA61" s="11" t="s">
        <v>38</v>
      </c>
      <c r="DB61" s="11" t="s">
        <v>38</v>
      </c>
      <c r="DC61" s="11" t="s">
        <v>38</v>
      </c>
      <c r="DD61" s="10" t="s">
        <v>34</v>
      </c>
      <c r="DE61" s="10" t="s">
        <v>34</v>
      </c>
      <c r="DF61" s="10" t="s">
        <v>34</v>
      </c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7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</row>
    <row r="62" spans="1:146" ht="36" customHeight="1">
      <c r="A62" s="36" t="s">
        <v>171</v>
      </c>
      <c r="B62" s="37" t="s">
        <v>172</v>
      </c>
      <c r="C62" s="38">
        <v>90</v>
      </c>
      <c r="D62" s="39" t="s">
        <v>216</v>
      </c>
      <c r="E62" s="40">
        <v>46596</v>
      </c>
      <c r="F62" s="40">
        <v>46616</v>
      </c>
      <c r="G62" s="38" t="s">
        <v>48</v>
      </c>
      <c r="H62" s="37" t="s">
        <v>173</v>
      </c>
      <c r="I62" s="39" t="s">
        <v>33</v>
      </c>
      <c r="J62" s="1"/>
      <c r="K62" s="1"/>
      <c r="L62" s="1"/>
      <c r="M62" s="1"/>
      <c r="N62" s="1"/>
      <c r="O62" s="1"/>
      <c r="P62" s="1"/>
      <c r="Q62" s="1"/>
      <c r="R62" s="7"/>
      <c r="S62" s="1"/>
      <c r="T62" s="7"/>
      <c r="U62" s="1"/>
      <c r="V62" s="1"/>
      <c r="W62" s="1"/>
      <c r="X62" s="1"/>
      <c r="Y62" s="7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7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7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7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3" t="s">
        <v>64</v>
      </c>
      <c r="DE62" s="13" t="s">
        <v>64</v>
      </c>
      <c r="DF62" s="11" t="s">
        <v>44</v>
      </c>
      <c r="DG62" s="11" t="s">
        <v>44</v>
      </c>
      <c r="DH62" s="11" t="s">
        <v>44</v>
      </c>
      <c r="DI62" s="11" t="s">
        <v>44</v>
      </c>
      <c r="DJ62" s="11" t="s">
        <v>44</v>
      </c>
      <c r="DK62" s="11" t="s">
        <v>44</v>
      </c>
      <c r="DL62" s="11" t="s">
        <v>44</v>
      </c>
      <c r="DM62" s="11" t="s">
        <v>38</v>
      </c>
      <c r="DN62" s="11" t="s">
        <v>38</v>
      </c>
      <c r="DO62" s="10" t="s">
        <v>34</v>
      </c>
      <c r="DP62" s="10" t="s">
        <v>34</v>
      </c>
      <c r="DQ62" s="7"/>
      <c r="DR62" s="10" t="s">
        <v>34</v>
      </c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</row>
    <row r="63" spans="1:146" ht="48" customHeight="1">
      <c r="A63" s="36" t="s">
        <v>174</v>
      </c>
      <c r="B63" s="37" t="s">
        <v>175</v>
      </c>
      <c r="C63" s="38">
        <v>80</v>
      </c>
      <c r="D63" s="39" t="s">
        <v>219</v>
      </c>
      <c r="E63" s="40">
        <v>46611</v>
      </c>
      <c r="F63" s="40">
        <v>46630</v>
      </c>
      <c r="G63" s="38" t="s">
        <v>48</v>
      </c>
      <c r="H63" s="37" t="s">
        <v>192</v>
      </c>
      <c r="I63" s="39" t="s">
        <v>33</v>
      </c>
      <c r="J63" s="1"/>
      <c r="K63" s="1"/>
      <c r="L63" s="1"/>
      <c r="M63" s="1"/>
      <c r="N63" s="1"/>
      <c r="O63" s="1"/>
      <c r="P63" s="1"/>
      <c r="Q63" s="1"/>
      <c r="R63" s="7"/>
      <c r="S63" s="1"/>
      <c r="T63" s="7"/>
      <c r="U63" s="1"/>
      <c r="V63" s="1"/>
      <c r="W63" s="1"/>
      <c r="X63" s="1"/>
      <c r="Y63" s="7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7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7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7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3" t="s">
        <v>64</v>
      </c>
      <c r="DP63" s="13" t="s">
        <v>64</v>
      </c>
      <c r="DQ63" s="7"/>
      <c r="DR63" s="13" t="s">
        <v>64</v>
      </c>
      <c r="DS63" s="11" t="s">
        <v>44</v>
      </c>
      <c r="DT63" s="11" t="s">
        <v>44</v>
      </c>
      <c r="DU63" s="11" t="s">
        <v>44</v>
      </c>
      <c r="DV63" s="11" t="s">
        <v>44</v>
      </c>
      <c r="DW63" s="11" t="s">
        <v>44</v>
      </c>
      <c r="DX63" s="11" t="s">
        <v>38</v>
      </c>
      <c r="DY63" s="11" t="s">
        <v>38</v>
      </c>
      <c r="DZ63" s="10" t="s">
        <v>34</v>
      </c>
      <c r="EA63" s="10" t="s">
        <v>34</v>
      </c>
      <c r="EB63" s="10" t="s">
        <v>34</v>
      </c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</row>
    <row r="64" spans="1:146" ht="36" customHeight="1">
      <c r="A64" s="36" t="s">
        <v>176</v>
      </c>
      <c r="B64" s="37" t="s">
        <v>177</v>
      </c>
      <c r="C64" s="38">
        <v>40</v>
      </c>
      <c r="D64" s="39" t="s">
        <v>217</v>
      </c>
      <c r="E64" s="40">
        <v>46626</v>
      </c>
      <c r="F64" s="40">
        <v>46633</v>
      </c>
      <c r="G64" s="38" t="s">
        <v>48</v>
      </c>
      <c r="H64" s="37" t="s">
        <v>193</v>
      </c>
      <c r="I64" s="39" t="s">
        <v>33</v>
      </c>
      <c r="J64" s="1"/>
      <c r="K64" s="1"/>
      <c r="L64" s="1"/>
      <c r="M64" s="1"/>
      <c r="N64" s="1"/>
      <c r="O64" s="1"/>
      <c r="P64" s="1"/>
      <c r="Q64" s="1"/>
      <c r="R64" s="7"/>
      <c r="S64" s="1"/>
      <c r="T64" s="7"/>
      <c r="U64" s="1"/>
      <c r="V64" s="1"/>
      <c r="W64" s="1"/>
      <c r="X64" s="1"/>
      <c r="Y64" s="7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7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7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7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7"/>
      <c r="DR64" s="1"/>
      <c r="DS64" s="1"/>
      <c r="DT64" s="1"/>
      <c r="DU64" s="1"/>
      <c r="DV64" s="1"/>
      <c r="DW64" s="1"/>
      <c r="DX64" s="1"/>
      <c r="DY64" s="1"/>
      <c r="DZ64" s="13" t="s">
        <v>64</v>
      </c>
      <c r="EA64" s="11" t="s">
        <v>44</v>
      </c>
      <c r="EB64" s="11" t="s">
        <v>44</v>
      </c>
      <c r="EC64" s="11" t="s">
        <v>38</v>
      </c>
      <c r="ED64" s="10" t="s">
        <v>34</v>
      </c>
      <c r="EE64" s="10" t="s">
        <v>34</v>
      </c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</row>
    <row r="65" spans="1:146" ht="36" customHeight="1">
      <c r="A65" s="36" t="s">
        <v>194</v>
      </c>
      <c r="B65" s="37" t="s">
        <v>95</v>
      </c>
      <c r="C65" s="38">
        <v>12</v>
      </c>
      <c r="D65" s="39" t="s">
        <v>182</v>
      </c>
      <c r="E65" s="40">
        <v>46632</v>
      </c>
      <c r="F65" s="40">
        <v>46633</v>
      </c>
      <c r="G65" s="38" t="s">
        <v>48</v>
      </c>
      <c r="H65" s="37"/>
      <c r="I65" s="39" t="s">
        <v>33</v>
      </c>
      <c r="J65" s="1"/>
      <c r="K65" s="1"/>
      <c r="L65" s="1"/>
      <c r="M65" s="1"/>
      <c r="N65" s="1"/>
      <c r="O65" s="1"/>
      <c r="P65" s="1"/>
      <c r="Q65" s="1"/>
      <c r="R65" s="7"/>
      <c r="S65" s="1"/>
      <c r="T65" s="7"/>
      <c r="U65" s="1"/>
      <c r="V65" s="1"/>
      <c r="W65" s="1"/>
      <c r="X65" s="1"/>
      <c r="Y65" s="7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7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7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7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7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3" t="s">
        <v>64</v>
      </c>
      <c r="EE65" s="13" t="s">
        <v>64</v>
      </c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</row>
    <row r="66" spans="1:146" ht="36" customHeight="1">
      <c r="A66" s="36" t="s">
        <v>178</v>
      </c>
      <c r="B66" s="37" t="s">
        <v>52</v>
      </c>
      <c r="C66" s="38">
        <v>0</v>
      </c>
      <c r="D66" s="39" t="s">
        <v>53</v>
      </c>
      <c r="E66" s="40">
        <v>46633</v>
      </c>
      <c r="F66" s="40">
        <v>46633</v>
      </c>
      <c r="G66" s="38" t="s">
        <v>48</v>
      </c>
      <c r="H66" s="37" t="s">
        <v>54</v>
      </c>
      <c r="I66" s="39" t="s">
        <v>33</v>
      </c>
      <c r="J66" s="1"/>
      <c r="K66" s="1"/>
      <c r="L66" s="1"/>
      <c r="M66" s="1"/>
      <c r="N66" s="1"/>
      <c r="O66" s="1"/>
      <c r="P66" s="1"/>
      <c r="Q66" s="1"/>
      <c r="R66" s="7"/>
      <c r="S66" s="1"/>
      <c r="T66" s="7"/>
      <c r="U66" s="1"/>
      <c r="V66" s="1"/>
      <c r="W66" s="1"/>
      <c r="X66" s="1"/>
      <c r="Y66" s="7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7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7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7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7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</row>
    <row r="67" spans="1:146" ht="36" customHeight="1">
      <c r="A67" s="36" t="s">
        <v>179</v>
      </c>
      <c r="B67" s="37" t="s">
        <v>56</v>
      </c>
      <c r="C67" s="38">
        <v>48</v>
      </c>
      <c r="D67" s="39" t="s">
        <v>149</v>
      </c>
      <c r="E67" s="40">
        <v>46636</v>
      </c>
      <c r="F67" s="40">
        <v>46643</v>
      </c>
      <c r="G67" s="38" t="s">
        <v>48</v>
      </c>
      <c r="H67" s="37" t="s">
        <v>180</v>
      </c>
      <c r="I67" s="39" t="s">
        <v>33</v>
      </c>
      <c r="J67" s="1"/>
      <c r="K67" s="1"/>
      <c r="L67" s="1"/>
      <c r="M67" s="1"/>
      <c r="N67" s="1"/>
      <c r="O67" s="1"/>
      <c r="P67" s="1"/>
      <c r="Q67" s="1"/>
      <c r="R67" s="7"/>
      <c r="S67" s="1"/>
      <c r="T67" s="7"/>
      <c r="U67" s="1"/>
      <c r="V67" s="1"/>
      <c r="W67" s="1"/>
      <c r="X67" s="1"/>
      <c r="Y67" s="7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7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7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7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7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4" t="s">
        <v>59</v>
      </c>
      <c r="EG67" s="14" t="s">
        <v>59</v>
      </c>
      <c r="EH67" s="14" t="s">
        <v>59</v>
      </c>
      <c r="EI67" s="14" t="s">
        <v>59</v>
      </c>
      <c r="EJ67" s="14" t="s">
        <v>59</v>
      </c>
      <c r="EK67" s="14" t="s">
        <v>59</v>
      </c>
      <c r="EL67" s="1"/>
      <c r="EM67" s="1"/>
      <c r="EN67" s="1"/>
      <c r="EO67" s="1"/>
      <c r="EP67" s="1"/>
    </row>
    <row r="68" spans="1:146" ht="26.15" customHeight="1">
      <c r="A68" s="33" t="s">
        <v>60</v>
      </c>
      <c r="B68" s="34"/>
      <c r="C68" s="56">
        <f>SUM(C60:C67)</f>
        <v>424</v>
      </c>
      <c r="D68" s="34"/>
      <c r="E68" s="33"/>
      <c r="F68" s="43">
        <v>46643</v>
      </c>
      <c r="G68" s="33"/>
      <c r="H68" s="34"/>
      <c r="I68" s="20"/>
      <c r="J68" s="35"/>
      <c r="K68" s="35"/>
      <c r="L68" s="35"/>
      <c r="M68" s="35"/>
      <c r="N68" s="35"/>
      <c r="O68" s="35"/>
      <c r="P68" s="35"/>
      <c r="Q68" s="35"/>
      <c r="R68" s="7"/>
      <c r="S68" s="35"/>
      <c r="T68" s="7"/>
      <c r="U68" s="35"/>
      <c r="V68" s="35"/>
      <c r="W68" s="35"/>
      <c r="X68" s="35"/>
      <c r="Y68" s="7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7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7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7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7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</row>
    <row r="69" spans="1:146" ht="28" customHeight="1">
      <c r="A69" s="44" t="s">
        <v>118</v>
      </c>
      <c r="B69" s="45"/>
      <c r="C69" s="57">
        <f>SUM(C58,C68)</f>
        <v>980</v>
      </c>
      <c r="D69" s="45"/>
      <c r="E69" s="44"/>
      <c r="F69" s="46">
        <v>46643</v>
      </c>
      <c r="G69" s="44"/>
      <c r="H69" s="45"/>
      <c r="I69" s="18"/>
      <c r="J69" s="47"/>
      <c r="K69" s="47"/>
      <c r="L69" s="47"/>
      <c r="M69" s="47"/>
      <c r="N69" s="47"/>
      <c r="O69" s="47"/>
      <c r="P69" s="47"/>
      <c r="Q69" s="47"/>
      <c r="R69" s="7"/>
      <c r="S69" s="47"/>
      <c r="T69" s="7"/>
      <c r="U69" s="47"/>
      <c r="V69" s="47"/>
      <c r="W69" s="47"/>
      <c r="X69" s="47"/>
      <c r="Y69" s="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7"/>
      <c r="CD69" s="47"/>
      <c r="CE69" s="47"/>
      <c r="CF69" s="47"/>
      <c r="CG69" s="47"/>
      <c r="CH69" s="47"/>
      <c r="CI69" s="47"/>
      <c r="CJ69" s="47"/>
      <c r="CK69" s="47"/>
      <c r="CL69" s="47"/>
      <c r="CM69" s="47"/>
      <c r="CN69" s="47"/>
      <c r="CO69" s="47"/>
      <c r="CP69" s="47"/>
      <c r="CQ69" s="7"/>
      <c r="CR69" s="47"/>
      <c r="CS69" s="47"/>
      <c r="CT69" s="47"/>
      <c r="CU69" s="47"/>
      <c r="CV69" s="47"/>
      <c r="CW69" s="47"/>
      <c r="CX69" s="47"/>
      <c r="CY69" s="47"/>
      <c r="CZ69" s="47"/>
      <c r="DA69" s="47"/>
      <c r="DB69" s="47"/>
      <c r="DC69" s="47"/>
      <c r="DD69" s="47"/>
      <c r="DE69" s="47"/>
      <c r="DF69" s="47"/>
      <c r="DG69" s="47"/>
      <c r="DH69" s="47"/>
      <c r="DI69" s="47"/>
      <c r="DJ69" s="47"/>
      <c r="DK69" s="47"/>
      <c r="DL69" s="47"/>
      <c r="DM69" s="47"/>
      <c r="DN69" s="47"/>
      <c r="DO69" s="47"/>
      <c r="DP69" s="47"/>
      <c r="DQ69" s="7"/>
      <c r="DR69" s="47"/>
      <c r="DS69" s="47"/>
      <c r="DT69" s="47"/>
      <c r="DU69" s="47"/>
      <c r="DV69" s="47"/>
      <c r="DW69" s="47"/>
      <c r="DX69" s="47"/>
      <c r="DY69" s="47"/>
      <c r="DZ69" s="47"/>
      <c r="EA69" s="47"/>
      <c r="EB69" s="47"/>
      <c r="EC69" s="47"/>
      <c r="ED69" s="47"/>
      <c r="EE69" s="47"/>
      <c r="EF69" s="47"/>
      <c r="EG69" s="47"/>
      <c r="EH69" s="47"/>
      <c r="EI69" s="47"/>
      <c r="EJ69" s="47"/>
      <c r="EK69" s="47"/>
      <c r="EL69" s="47"/>
      <c r="EM69" s="47"/>
      <c r="EN69" s="47"/>
      <c r="EO69" s="47"/>
      <c r="EP69" s="47"/>
    </row>
    <row r="70" spans="1:146" ht="26.15" customHeight="1">
      <c r="A70" s="33" t="s">
        <v>119</v>
      </c>
      <c r="B70" s="34"/>
      <c r="C70" s="56">
        <f>'Etapa 1'!C55+C69</f>
        <v>2144</v>
      </c>
      <c r="D70" s="34"/>
      <c r="E70" s="33"/>
      <c r="F70" s="43">
        <v>46643</v>
      </c>
      <c r="G70" s="33"/>
      <c r="H70" s="34"/>
      <c r="I70" s="20"/>
      <c r="J70" s="35"/>
      <c r="K70" s="35"/>
      <c r="L70" s="35"/>
      <c r="M70" s="35"/>
      <c r="N70" s="35"/>
      <c r="O70" s="35"/>
      <c r="P70" s="35"/>
      <c r="Q70" s="35"/>
      <c r="R70" s="7"/>
      <c r="S70" s="35"/>
      <c r="T70" s="7"/>
      <c r="U70" s="35"/>
      <c r="V70" s="35"/>
      <c r="W70" s="35"/>
      <c r="X70" s="35"/>
      <c r="Y70" s="7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7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7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7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7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</row>
    <row r="71" spans="1:146">
      <c r="A71" s="1"/>
      <c r="B71" s="2"/>
      <c r="C71" s="1"/>
      <c r="D71" s="2"/>
      <c r="E71" s="1"/>
      <c r="F71" s="1"/>
      <c r="G71" s="1"/>
      <c r="H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</row>
  </sheetData>
  <mergeCells count="10">
    <mergeCell ref="A25:H25"/>
    <mergeCell ref="A40:H40"/>
    <mergeCell ref="A42:H42"/>
    <mergeCell ref="A45:H45"/>
    <mergeCell ref="A59:H59"/>
    <mergeCell ref="A2:H2"/>
    <mergeCell ref="A3:H3"/>
    <mergeCell ref="A6:H6"/>
    <mergeCell ref="A8:H8"/>
    <mergeCell ref="A11:H1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Etapa 1</vt:lpstr>
      <vt:lpstr>Etapa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Iriarte, Amiel Christian</cp:lastModifiedBy>
  <cp:revision/>
  <dcterms:created xsi:type="dcterms:W3CDTF">2026-10-19T15:51:06Z</dcterms:created>
  <dcterms:modified xsi:type="dcterms:W3CDTF">2026-10-19T18:59:11Z</dcterms:modified>
  <cp:category/>
  <cp:contentStatus/>
</cp:coreProperties>
</file>